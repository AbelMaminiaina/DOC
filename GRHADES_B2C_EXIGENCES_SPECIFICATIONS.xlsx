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GENDE" sheetId="1" state="visible" r:id="rId1"/>
    <sheet xmlns:r="http://schemas.openxmlformats.org/officeDocument/2006/relationships" name="01_EXIGENCES" sheetId="2" state="visible" r:id="rId2"/>
    <sheet xmlns:r="http://schemas.openxmlformats.org/officeDocument/2006/relationships" name="02_SPECIFICATIONS" sheetId="3" state="visible" r:id="rId3"/>
    <sheet xmlns:r="http://schemas.openxmlformats.org/officeDocument/2006/relationships" name="03_SYNTHESE_PHASE" sheetId="4" state="visible" r:id="rId4"/>
    <sheet xmlns:r="http://schemas.openxmlformats.org/officeDocument/2006/relationships" name="04_MODULES_CUSTOM" sheetId="5" state="visible" r:id="rId5"/>
  </sheets>
  <definedNames>
    <definedName name="_xlnm._FilterDatabase" localSheetId="1" hidden="1">'01_EXIGENCES'!$A$1:$N$32</definedName>
    <definedName name="_xlnm._FilterDatabase" localSheetId="2" hidden="1">'02_SPECIFICATIONS'!$A$1:$M$36</definedName>
    <definedName name="_xlnm._FilterDatabase" localSheetId="4" hidden="1">'04_MODULES_CUSTOM'!$A$1:$H$21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i val="1"/>
      <color rgb="009C5700"/>
      <sz val="9"/>
    </font>
    <font>
      <name val="Arial"/>
      <b val="1"/>
      <color rgb="00FFFFFF"/>
      <sz val="10"/>
    </font>
    <font>
      <name val="Arial"/>
      <color rgb="001A1A1A"/>
      <sz val="10"/>
    </font>
    <font>
      <name val="Arial"/>
      <b val="1"/>
      <color rgb="001A1A1A"/>
      <sz val="10"/>
    </font>
    <font>
      <name val="Arial"/>
      <b val="1"/>
      <color rgb="001F4E79"/>
      <sz val="10"/>
    </font>
  </fonts>
  <fills count="11">
    <fill>
      <patternFill/>
    </fill>
    <fill>
      <patternFill patternType="gray125"/>
    </fill>
    <fill>
      <patternFill patternType="solid">
        <fgColor rgb="001F4E79"/>
      </patternFill>
    </fill>
    <fill>
      <patternFill patternType="solid">
        <fgColor rgb="00FFEB9C"/>
      </patternFill>
    </fill>
    <fill>
      <patternFill patternType="solid">
        <fgColor rgb="002E75B6"/>
      </patternFill>
    </fill>
    <fill>
      <patternFill patternType="solid">
        <fgColor rgb="00FFFFFF"/>
      </patternFill>
    </fill>
    <fill>
      <patternFill patternType="solid">
        <fgColor rgb="00EEF4FB"/>
      </patternFill>
    </fill>
    <fill>
      <patternFill patternType="solid">
        <fgColor rgb="00843C0C"/>
      </patternFill>
    </fill>
    <fill>
      <patternFill patternType="solid">
        <fgColor rgb="00C55A11"/>
      </patternFill>
    </fill>
    <fill>
      <patternFill patternType="solid">
        <fgColor rgb="00D6E4F7"/>
      </patternFill>
    </fill>
    <fill>
      <patternFill patternType="solid">
        <fgColor rgb="007030A0"/>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FFFFFF"/>
      </left>
      <right style="thin">
        <color rgb="00FFFFFF"/>
      </right>
      <top style="thin">
        <color rgb="00FFFFFF"/>
      </top>
      <bottom style="thin">
        <color rgb="00FFFFFF"/>
      </bottom>
    </border>
    <border>
      <left style="thin">
        <color rgb="002E75B6"/>
      </left>
      <right style="thin">
        <color rgb="002E75B6"/>
      </right>
      <top style="thin">
        <color rgb="002E75B6"/>
      </top>
      <bottom style="thin">
        <color rgb="002E75B6"/>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3" fillId="4" borderId="2" applyAlignment="1" pivotButton="0" quotePrefix="0" xfId="0">
      <alignment horizontal="center" vertical="center" wrapText="1"/>
    </xf>
    <xf numFmtId="0" fontId="1" fillId="7" borderId="0" applyAlignment="1" pivotButton="0" quotePrefix="0" xfId="0">
      <alignment horizontal="center" vertical="center" wrapText="1"/>
    </xf>
    <xf numFmtId="0" fontId="3" fillId="8"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5" borderId="1" applyAlignment="1" pivotButton="0" quotePrefix="0" xfId="0">
      <alignment horizontal="center" vertical="center" wrapText="1"/>
    </xf>
    <xf numFmtId="9"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9" fontId="4" fillId="6" borderId="1" applyAlignment="1" pivotButton="0" quotePrefix="0" xfId="0">
      <alignment horizontal="center" vertical="center" wrapText="1"/>
    </xf>
    <xf numFmtId="0" fontId="6" fillId="9" borderId="3" applyAlignment="1" pivotButton="0" quotePrefix="0" xfId="0">
      <alignment horizontal="center" vertical="center" wrapText="1"/>
    </xf>
    <xf numFmtId="9" fontId="6" fillId="9" borderId="3" applyAlignment="1" pivotButton="0" quotePrefix="0" xfId="0">
      <alignment horizontal="center" vertical="center" wrapText="1"/>
    </xf>
    <xf numFmtId="0" fontId="6" fillId="9" borderId="3" applyAlignment="1" pivotButton="0" quotePrefix="0" xfId="0">
      <alignment horizontal="left" vertical="center" wrapText="1"/>
    </xf>
    <xf numFmtId="0" fontId="1" fillId="10" borderId="0" applyAlignment="1" pivotButton="0" quotePrefix="0" xfId="0">
      <alignment horizontal="center" vertical="center" wrapText="1"/>
    </xf>
    <xf numFmtId="0" fontId="3" fillId="10" borderId="2" applyAlignment="1" pivotButton="0" quotePrefix="0" xfId="0">
      <alignment horizontal="center" vertical="center" wrapText="1"/>
    </xf>
  </cellXfs>
  <cellStyles count="1">
    <cellStyle name="Normal" xfId="0" builtinId="0" hidden="0"/>
  </cellStyles>
  <dxfs count="5">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6E4F7"/>
        </patternFill>
      </fill>
    </dxf>
    <dxf>
      <fill>
        <patternFill patternType="solid">
          <fgColor rgb="00FFFF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F76"/>
  <sheetViews>
    <sheetView workbookViewId="0">
      <selection activeCell="A1" sqref="A1"/>
    </sheetView>
  </sheetViews>
  <sheetFormatPr baseColWidth="8" defaultRowHeight="15"/>
  <cols>
    <col width="3" customWidth="1" min="1" max="1"/>
    <col width="70" customWidth="1" min="2" max="2"/>
    <col width="10" customWidth="1" min="3" max="3"/>
    <col width="10" customWidth="1" min="4" max="4"/>
    <col width="10" customWidth="1" min="5" max="5"/>
    <col width="10" customWidth="1" min="6" max="6"/>
  </cols>
  <sheetData>
    <row r="1" ht="28" customHeight="1">
      <c r="A1" s="1" t="inlineStr">
        <is>
          <t>LÉGENDE — GRHADES E-Commerce B2C | Odoo eCommerce+CRM+Marketing+Stock+Compta | Modules Python custom</t>
        </is>
      </c>
    </row>
    <row r="2">
      <c r="A2" s="2" t="inlineStr">
        <is>
          <t>⚠  Ne pas modifier cet onglet sans validation du chef de projet</t>
        </is>
      </c>
    </row>
    <row r="4">
      <c r="A4" s="3" t="inlineStr">
        <is>
          <t xml:space="preserve">  Catégorie</t>
        </is>
      </c>
    </row>
    <row r="5">
      <c r="B5" s="4" t="inlineStr">
        <is>
          <t>Fonctionnel</t>
        </is>
      </c>
    </row>
    <row r="6">
      <c r="B6" s="5" t="inlineStr">
        <is>
          <t>Non-fonctionnel</t>
        </is>
      </c>
    </row>
    <row r="7">
      <c r="B7" s="4" t="inlineStr">
        <is>
          <t>Réglementaire</t>
        </is>
      </c>
    </row>
    <row r="8">
      <c r="B8" s="5" t="inlineStr">
        <is>
          <t>Technique</t>
        </is>
      </c>
    </row>
    <row r="9">
      <c r="B9" s="4" t="inlineStr">
        <is>
          <t>Sécurité</t>
        </is>
      </c>
    </row>
    <row r="11">
      <c r="A11" s="3" t="inlineStr">
        <is>
          <t xml:space="preserve">  Priorité</t>
        </is>
      </c>
    </row>
    <row r="12">
      <c r="B12" s="4" t="inlineStr">
        <is>
          <t>Critique</t>
        </is>
      </c>
    </row>
    <row r="13">
      <c r="B13" s="5" t="inlineStr">
        <is>
          <t>Haute</t>
        </is>
      </c>
    </row>
    <row r="14">
      <c r="B14" s="4" t="inlineStr">
        <is>
          <t>Moyenne</t>
        </is>
      </c>
    </row>
    <row r="15">
      <c r="B15" s="5" t="inlineStr">
        <is>
          <t>Faible</t>
        </is>
      </c>
    </row>
    <row r="17">
      <c r="A17" s="3" t="inlineStr">
        <is>
          <t xml:space="preserve">  Source</t>
        </is>
      </c>
    </row>
    <row r="18">
      <c r="B18" s="4" t="inlineStr">
        <is>
          <t>Client</t>
        </is>
      </c>
    </row>
    <row r="19">
      <c r="B19" s="5" t="inlineStr">
        <is>
          <t>MOA</t>
        </is>
      </c>
    </row>
    <row r="20">
      <c r="B20" s="4" t="inlineStr">
        <is>
          <t>MOE</t>
        </is>
      </c>
    </row>
    <row r="21">
      <c r="B21" s="5" t="inlineStr">
        <is>
          <t>Réglementaire</t>
        </is>
      </c>
    </row>
    <row r="22">
      <c r="B22" s="4" t="inlineStr">
        <is>
          <t>Interne</t>
        </is>
      </c>
    </row>
    <row r="24">
      <c r="A24" s="3" t="inlineStr">
        <is>
          <t xml:space="preserve">  Phase V-cycle</t>
        </is>
      </c>
    </row>
    <row r="25">
      <c r="B25" s="4" t="inlineStr">
        <is>
          <t>Définition</t>
        </is>
      </c>
    </row>
    <row r="26">
      <c r="B26" s="5" t="inlineStr">
        <is>
          <t>Conception</t>
        </is>
      </c>
    </row>
    <row r="27">
      <c r="B27" s="4" t="inlineStr">
        <is>
          <t>Réalisation</t>
        </is>
      </c>
    </row>
    <row r="28">
      <c r="B28" s="5" t="inlineStr">
        <is>
          <t>Tests</t>
        </is>
      </c>
    </row>
    <row r="29">
      <c r="B29" s="4" t="inlineStr">
        <is>
          <t>Recette</t>
        </is>
      </c>
    </row>
    <row r="30">
      <c r="B30" s="5" t="inlineStr">
        <is>
          <t>Déploiement</t>
        </is>
      </c>
    </row>
    <row r="32">
      <c r="A32" s="3" t="inlineStr">
        <is>
          <t xml:space="preserve">  Statut Exigence</t>
        </is>
      </c>
    </row>
    <row r="33">
      <c r="B33" s="4" t="inlineStr">
        <is>
          <t>En attente</t>
        </is>
      </c>
    </row>
    <row r="34">
      <c r="B34" s="5" t="inlineStr">
        <is>
          <t>Validé</t>
        </is>
      </c>
    </row>
    <row r="35">
      <c r="B35" s="4" t="inlineStr">
        <is>
          <t>Gelé</t>
        </is>
      </c>
    </row>
    <row r="36">
      <c r="B36" s="5" t="inlineStr">
        <is>
          <t>Abandonné</t>
        </is>
      </c>
    </row>
    <row r="37">
      <c r="B37" s="4" t="inlineStr">
        <is>
          <t>En révision</t>
        </is>
      </c>
    </row>
    <row r="39">
      <c r="A39" s="3" t="inlineStr">
        <is>
          <t xml:space="preserve">  Statut Spécification</t>
        </is>
      </c>
    </row>
    <row r="40">
      <c r="B40" s="4" t="inlineStr">
        <is>
          <t>En attente</t>
        </is>
      </c>
    </row>
    <row r="41">
      <c r="B41" s="5" t="inlineStr">
        <is>
          <t>Validé</t>
        </is>
      </c>
    </row>
    <row r="42">
      <c r="B42" s="4" t="inlineStr">
        <is>
          <t>En cours</t>
        </is>
      </c>
    </row>
    <row r="43">
      <c r="B43" s="5" t="inlineStr">
        <is>
          <t>Terminé</t>
        </is>
      </c>
    </row>
    <row r="44">
      <c r="B44" s="4" t="inlineStr">
        <is>
          <t>Rejeté</t>
        </is>
      </c>
    </row>
    <row r="46">
      <c r="A46" s="3" t="inlineStr">
        <is>
          <t xml:space="preserve">  Modules Odoo concernés</t>
        </is>
      </c>
    </row>
    <row r="47">
      <c r="B47" s="4" t="inlineStr">
        <is>
          <t>Odoo eCommerce</t>
        </is>
      </c>
    </row>
    <row r="48">
      <c r="B48" s="5" t="inlineStr">
        <is>
          <t>Odoo CRM</t>
        </is>
      </c>
    </row>
    <row r="49">
      <c r="B49" s="4" t="inlineStr">
        <is>
          <t>Odoo Marketing (Mass Mailing)</t>
        </is>
      </c>
    </row>
    <row r="50">
      <c r="B50" s="5" t="inlineStr">
        <is>
          <t>Odoo Stock</t>
        </is>
      </c>
    </row>
    <row r="51">
      <c r="B51" s="4" t="inlineStr">
        <is>
          <t>Odoo Comptabilité (Account)</t>
        </is>
      </c>
    </row>
    <row r="52">
      <c r="B52" s="5" t="inlineStr">
        <is>
          <t>Odoo Loyalty</t>
        </is>
      </c>
    </row>
    <row r="53">
      <c r="B53" s="4" t="inlineStr">
        <is>
          <t>Odoo Coupon</t>
        </is>
      </c>
    </row>
    <row r="54">
      <c r="B54" s="5" t="inlineStr">
        <is>
          <t>Odoo Delivery</t>
        </is>
      </c>
    </row>
    <row r="55">
      <c r="B55" s="4" t="inlineStr">
        <is>
          <t>Odoo Portal</t>
        </is>
      </c>
    </row>
    <row r="56">
      <c r="B56" s="5" t="inlineStr">
        <is>
          <t>Odoo Website</t>
        </is>
      </c>
    </row>
    <row r="58">
      <c r="A58" s="3" t="inlineStr">
        <is>
          <t xml:space="preserve">  Modules Python custom développés</t>
        </is>
      </c>
    </row>
    <row r="59">
      <c r="B59" s="4" t="inlineStr">
        <is>
          <t>grhades_payment_stripe</t>
        </is>
      </c>
    </row>
    <row r="60">
      <c r="B60" s="5" t="inlineStr">
        <is>
          <t>grhades_stock_website</t>
        </is>
      </c>
    </row>
    <row r="61">
      <c r="B61" s="4" t="inlineStr">
        <is>
          <t>grhades_customer_portal</t>
        </is>
      </c>
    </row>
    <row r="62">
      <c r="B62" s="5" t="inlineStr">
        <is>
          <t>grhades_mail_templates</t>
        </is>
      </c>
    </row>
    <row r="63">
      <c r="B63" s="4" t="inlineStr">
        <is>
          <t>grhades_returns</t>
        </is>
      </c>
    </row>
    <row r="64">
      <c r="B64" s="5" t="inlineStr">
        <is>
          <t>grhades_loyalty_custom</t>
        </is>
      </c>
    </row>
    <row r="65">
      <c r="B65" s="4" t="inlineStr">
        <is>
          <t>grhades_product_review</t>
        </is>
      </c>
    </row>
    <row r="66">
      <c r="B66" s="5" t="inlineStr">
        <is>
          <t>grhades_coupon_custom</t>
        </is>
      </c>
    </row>
    <row r="67">
      <c r="B67" s="4" t="inlineStr">
        <is>
          <t>grhades_abandoned_cart</t>
        </is>
      </c>
    </row>
    <row r="68">
      <c r="B68" s="5" t="inlineStr">
        <is>
          <t>grhades_dashboard</t>
        </is>
      </c>
    </row>
    <row r="69">
      <c r="B69" s="4" t="inlineStr">
        <is>
          <t>grhades_crm_website</t>
        </is>
      </c>
    </row>
    <row r="70">
      <c r="B70" s="5" t="inlineStr">
        <is>
          <t>grhades_marketing_custom</t>
        </is>
      </c>
    </row>
    <row r="71">
      <c r="B71" s="4" t="inlineStr">
        <is>
          <t>grhades_delivery_tracking</t>
        </is>
      </c>
    </row>
    <row r="72">
      <c r="B72" s="5" t="inlineStr">
        <is>
          <t>grhades_rgpd</t>
        </is>
      </c>
    </row>
    <row r="73">
      <c r="B73" s="4" t="inlineStr">
        <is>
          <t>grhades_security</t>
        </is>
      </c>
    </row>
    <row r="74">
      <c r="B74" s="5" t="inlineStr">
        <is>
          <t>grhades_sale_custom</t>
        </is>
      </c>
    </row>
    <row r="75">
      <c r="B75" s="4" t="inlineStr">
        <is>
          <t>grhades_theme</t>
        </is>
      </c>
    </row>
    <row r="76">
      <c r="B76" s="5" t="inlineStr">
        <is>
          <t>backup_odoo.py</t>
        </is>
      </c>
    </row>
  </sheetData>
  <mergeCells count="10">
    <mergeCell ref="A24:F24"/>
    <mergeCell ref="A2:F2"/>
    <mergeCell ref="A11:F11"/>
    <mergeCell ref="A46:F46"/>
    <mergeCell ref="A1:F1"/>
    <mergeCell ref="A32:F32"/>
    <mergeCell ref="A58:F58"/>
    <mergeCell ref="A17:F17"/>
    <mergeCell ref="A4:F4"/>
    <mergeCell ref="A39:F39"/>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N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32" customWidth="1" min="3" max="3"/>
    <col width="55" customWidth="1" min="4" max="4"/>
    <col width="12" customWidth="1" min="5" max="5"/>
    <col width="14" customWidth="1" min="6" max="6"/>
    <col width="16" customWidth="1" min="7" max="7"/>
    <col width="14" customWidth="1" min="8" max="8"/>
    <col width="18" customWidth="1" min="9" max="9"/>
    <col width="16" customWidth="1" min="10" max="10"/>
    <col width="22" customWidth="1" min="11" max="11"/>
    <col width="20" customWidth="1" min="12" max="12"/>
    <col width="12" customWidth="1" min="13" max="13"/>
    <col width="42" customWidth="1" min="14" max="14"/>
  </cols>
  <sheetData>
    <row r="1" ht="28" customHeight="1">
      <c r="A1" s="1" t="inlineStr">
        <is>
          <t>REGISTRE DES EXIGENCES — GRHADES E-Commerce B2C Odoo+Python (30 exigences)</t>
        </is>
      </c>
    </row>
    <row r="2" ht="22" customHeight="1">
      <c r="A2" s="6" t="inlineStr">
        <is>
          <t>ID_EXG</t>
        </is>
      </c>
      <c r="B2" s="6" t="inlineStr">
        <is>
          <t>Catégorie</t>
        </is>
      </c>
      <c r="C2" s="6" t="inlineStr">
        <is>
          <t>Titre</t>
        </is>
      </c>
      <c r="D2" s="6" t="inlineStr">
        <is>
          <t>Description</t>
        </is>
      </c>
      <c r="E2" s="6" t="inlineStr">
        <is>
          <t>Priorité</t>
        </is>
      </c>
      <c r="F2" s="6" t="inlineStr">
        <is>
          <t>Source</t>
        </is>
      </c>
      <c r="G2" s="6" t="inlineStr">
        <is>
          <t>Phase V-cycle</t>
        </is>
      </c>
      <c r="H2" s="6" t="inlineStr">
        <is>
          <t>Statut</t>
        </is>
      </c>
      <c r="I2" s="6" t="inlineStr">
        <is>
          <t>Responsable</t>
        </is>
      </c>
      <c r="J2" s="6" t="inlineStr">
        <is>
          <t>Date validation</t>
        </is>
      </c>
      <c r="K2" s="6" t="inlineStr">
        <is>
          <t>ID_SPEC lié</t>
        </is>
      </c>
      <c r="L2" s="6" t="inlineStr">
        <is>
          <t>ID_TEST lié</t>
        </is>
      </c>
      <c r="M2" s="6" t="inlineStr">
        <is>
          <t>Taux couv.</t>
        </is>
      </c>
      <c r="N2" s="6" t="inlineStr">
        <is>
          <t>Commentaires</t>
        </is>
      </c>
    </row>
    <row r="3">
      <c r="A3" s="4" t="inlineStr">
        <is>
          <t>EXG-001</t>
        </is>
      </c>
      <c r="B3" s="4" t="inlineStr">
        <is>
          <t>Fonctionnel</t>
        </is>
      </c>
      <c r="C3" s="4" t="inlineStr">
        <is>
          <t>Catalogue produits B2C avec variantes</t>
        </is>
      </c>
      <c r="D3" s="4" t="inlineStr">
        <is>
          <t>Le site e-commerce doit afficher un catalogue produits avec variantes (couleur, taille, capacité). Chaque fiche produit affiche : images, description, prix TTC, disponibilité stock, avis clients.</t>
        </is>
      </c>
      <c r="E3" s="4" t="inlineStr">
        <is>
          <t>Critique</t>
        </is>
      </c>
      <c r="F3" s="4" t="inlineStr">
        <is>
          <t>Client</t>
        </is>
      </c>
      <c r="G3" s="4" t="inlineStr">
        <is>
          <t>Définition</t>
        </is>
      </c>
      <c r="H3" s="4" t="inlineStr">
        <is>
          <t>Validé</t>
        </is>
      </c>
      <c r="I3" s="4" t="inlineStr">
        <is>
          <t>M. Karim (MOA)</t>
        </is>
      </c>
      <c r="J3" s="4" t="inlineStr">
        <is>
          <t>08/01/2026</t>
        </is>
      </c>
      <c r="K3" s="4" t="inlineStr">
        <is>
          <t>SPEC-001, SPEC-002</t>
        </is>
      </c>
      <c r="L3" s="4" t="inlineStr">
        <is>
          <t>TST-001, TST-002</t>
        </is>
      </c>
      <c r="M3" s="4" t="inlineStr"/>
      <c r="N3" s="4" t="inlineStr">
        <is>
          <t>Validé en atelier du 08/01/2026</t>
        </is>
      </c>
    </row>
    <row r="4">
      <c r="A4" s="5" t="inlineStr">
        <is>
          <t>EXG-002</t>
        </is>
      </c>
      <c r="B4" s="5" t="inlineStr">
        <is>
          <t>Fonctionnel</t>
        </is>
      </c>
      <c r="C4" s="5" t="inlineStr">
        <is>
          <t>Panier d'achat et tunnel de commande</t>
        </is>
      </c>
      <c r="D4" s="5" t="inlineStr">
        <is>
          <t>L'utilisateur peut ajouter des articles au panier, modifier les quantités, supprimer des articles, visualiser le récapitulatif (sous-total, frais de port, TVA, total TTC) et passer à l'étape de paiement.</t>
        </is>
      </c>
      <c r="E4" s="5" t="inlineStr">
        <is>
          <t>Critique</t>
        </is>
      </c>
      <c r="F4" s="5" t="inlineStr">
        <is>
          <t>Client</t>
        </is>
      </c>
      <c r="G4" s="5" t="inlineStr">
        <is>
          <t>Définition</t>
        </is>
      </c>
      <c r="H4" s="5" t="inlineStr">
        <is>
          <t>Validé</t>
        </is>
      </c>
      <c r="I4" s="5" t="inlineStr">
        <is>
          <t>M. Karim (MOA)</t>
        </is>
      </c>
      <c r="J4" s="5" t="inlineStr">
        <is>
          <t>08/01/2026</t>
        </is>
      </c>
      <c r="K4" s="5" t="inlineStr">
        <is>
          <t>SPEC-003, SPEC-004</t>
        </is>
      </c>
      <c r="L4" s="5" t="inlineStr">
        <is>
          <t>TST-003</t>
        </is>
      </c>
      <c r="M4" s="5" t="inlineStr"/>
      <c r="N4" s="5" t="inlineStr"/>
    </row>
    <row r="5">
      <c r="A5" s="4" t="inlineStr">
        <is>
          <t>EXG-003</t>
        </is>
      </c>
      <c r="B5" s="4" t="inlineStr">
        <is>
          <t>Fonctionnel</t>
        </is>
      </c>
      <c r="C5" s="4" t="inlineStr">
        <is>
          <t>Paiement en ligne sécurisé</t>
        </is>
      </c>
      <c r="D5" s="4" t="inlineStr">
        <is>
          <t>Le site accepte le paiement par CB (Stripe), virement bancaire et paiement à la livraison (contre-remboursement). Le module Odoo Payment custom gère la configuration des acquéreurs.</t>
        </is>
      </c>
      <c r="E5" s="4" t="inlineStr">
        <is>
          <t>Critique</t>
        </is>
      </c>
      <c r="F5" s="4" t="inlineStr">
        <is>
          <t>Client</t>
        </is>
      </c>
      <c r="G5" s="4" t="inlineStr">
        <is>
          <t>Définition</t>
        </is>
      </c>
      <c r="H5" s="4" t="inlineStr">
        <is>
          <t>Validé</t>
        </is>
      </c>
      <c r="I5" s="4" t="inlineStr">
        <is>
          <t>Mme. Sara (MOA)</t>
        </is>
      </c>
      <c r="J5" s="4" t="inlineStr">
        <is>
          <t>10/01/2026</t>
        </is>
      </c>
      <c r="K5" s="4" t="inlineStr">
        <is>
          <t>SPEC-005</t>
        </is>
      </c>
      <c r="L5" s="4" t="inlineStr">
        <is>
          <t>TST-004</t>
        </is>
      </c>
      <c r="M5" s="4" t="inlineStr"/>
      <c r="N5" s="4" t="inlineStr">
        <is>
          <t>Module Odoo custom grhades_payment</t>
        </is>
      </c>
    </row>
    <row r="6">
      <c r="A6" s="5" t="inlineStr">
        <is>
          <t>EXG-004</t>
        </is>
      </c>
      <c r="B6" s="5" t="inlineStr">
        <is>
          <t>Fonctionnel</t>
        </is>
      </c>
      <c r="C6" s="5" t="inlineStr">
        <is>
          <t>Espace client — Compte personnel</t>
        </is>
      </c>
      <c r="D6" s="5" t="inlineStr">
        <is>
          <t>Chaque client dispose d'un espace personnel affichant : historique des commandes, statut de livraison, factures téléchargeables en PDF, gestion des adresses de livraison et de facturation.</t>
        </is>
      </c>
      <c r="E6" s="5" t="inlineStr">
        <is>
          <t>Haute</t>
        </is>
      </c>
      <c r="F6" s="5" t="inlineStr">
        <is>
          <t>Client</t>
        </is>
      </c>
      <c r="G6" s="5" t="inlineStr">
        <is>
          <t>Définition</t>
        </is>
      </c>
      <c r="H6" s="5" t="inlineStr">
        <is>
          <t>Validé</t>
        </is>
      </c>
      <c r="I6" s="5" t="inlineStr">
        <is>
          <t>M. Karim (MOA)</t>
        </is>
      </c>
      <c r="J6" s="5" t="inlineStr">
        <is>
          <t>10/01/2026</t>
        </is>
      </c>
      <c r="K6" s="5" t="inlineStr">
        <is>
          <t>SPEC-006</t>
        </is>
      </c>
      <c r="L6" s="5" t="inlineStr">
        <is>
          <t>TST-005</t>
        </is>
      </c>
      <c r="M6" s="5" t="inlineStr"/>
      <c r="N6" s="5" t="inlineStr">
        <is>
          <t>Portail Odoo standard + custom</t>
        </is>
      </c>
    </row>
    <row r="7">
      <c r="A7" s="4" t="inlineStr">
        <is>
          <t>EXG-005</t>
        </is>
      </c>
      <c r="B7" s="4" t="inlineStr">
        <is>
          <t>Fonctionnel</t>
        </is>
      </c>
      <c r="C7" s="4" t="inlineStr">
        <is>
          <t>Gestion des stocks en temps réel</t>
        </is>
      </c>
      <c r="D7" s="4" t="inlineStr">
        <is>
          <t>Le stock disponible affiché sur le site est synchronisé avec le module Stock Odoo. Quand un produit est en rupture, il est automatiquement grisé avec le message 'Rupture de stock — bientôt disponible'.</t>
        </is>
      </c>
      <c r="E7" s="4" t="inlineStr">
        <is>
          <t>Critique</t>
        </is>
      </c>
      <c r="F7" s="4" t="inlineStr">
        <is>
          <t>MOA</t>
        </is>
      </c>
      <c r="G7" s="4" t="inlineStr">
        <is>
          <t>Définition</t>
        </is>
      </c>
      <c r="H7" s="4" t="inlineStr">
        <is>
          <t>Validé</t>
        </is>
      </c>
      <c r="I7" s="4" t="inlineStr">
        <is>
          <t>M. Yassine (Tech)</t>
        </is>
      </c>
      <c r="J7" s="4" t="inlineStr">
        <is>
          <t>12/01/2026</t>
        </is>
      </c>
      <c r="K7" s="4" t="inlineStr">
        <is>
          <t>SPEC-007</t>
        </is>
      </c>
      <c r="L7" s="4" t="inlineStr">
        <is>
          <t>TST-006</t>
        </is>
      </c>
      <c r="M7" s="4" t="inlineStr"/>
      <c r="N7" s="4" t="inlineStr">
        <is>
          <t>Module Odoo custom grhades_stock_website</t>
        </is>
      </c>
    </row>
    <row r="8">
      <c r="A8" s="5" t="inlineStr">
        <is>
          <t>EXG-006</t>
        </is>
      </c>
      <c r="B8" s="5" t="inlineStr">
        <is>
          <t>Fonctionnel</t>
        </is>
      </c>
      <c r="C8" s="5" t="inlineStr">
        <is>
          <t>Gestion des commandes et bons de livraison</t>
        </is>
      </c>
      <c r="D8" s="5" t="inlineStr">
        <is>
          <t>À chaque commande validée, Odoo crée automatiquement un bon de préparation (stock.picking) dans le module Stock. Le picking est traité par l'entrepôt et déclenche l'email d'expédition au client.</t>
        </is>
      </c>
      <c r="E8" s="5" t="inlineStr">
        <is>
          <t>Critique</t>
        </is>
      </c>
      <c r="F8" s="5" t="inlineStr">
        <is>
          <t>MOA</t>
        </is>
      </c>
      <c r="G8" s="5" t="inlineStr">
        <is>
          <t>Définition</t>
        </is>
      </c>
      <c r="H8" s="5" t="inlineStr">
        <is>
          <t>Validé</t>
        </is>
      </c>
      <c r="I8" s="5" t="inlineStr">
        <is>
          <t>M. Yassine (Tech)</t>
        </is>
      </c>
      <c r="J8" s="5" t="inlineStr">
        <is>
          <t>12/01/2026</t>
        </is>
      </c>
      <c r="K8" s="5" t="inlineStr">
        <is>
          <t>SPEC-008</t>
        </is>
      </c>
      <c r="L8" s="5" t="inlineStr">
        <is>
          <t>TST-007</t>
        </is>
      </c>
      <c r="M8" s="5" t="inlineStr"/>
      <c r="N8" s="5" t="inlineStr"/>
    </row>
    <row r="9">
      <c r="A9" s="4" t="inlineStr">
        <is>
          <t>EXG-007</t>
        </is>
      </c>
      <c r="B9" s="4" t="inlineStr">
        <is>
          <t>Fonctionnel</t>
        </is>
      </c>
      <c r="C9" s="4" t="inlineStr">
        <is>
          <t>Facturation automatique B2C</t>
        </is>
      </c>
      <c r="D9" s="4" t="inlineStr">
        <is>
          <t>Toute commande confirmée génère automatiquement une facture dans Odoo Comptabilité. La facture est envoyée par email au client au format PDF et enregistrée dans son espace personnel.</t>
        </is>
      </c>
      <c r="E9" s="4" t="inlineStr">
        <is>
          <t>Critique</t>
        </is>
      </c>
      <c r="F9" s="4" t="inlineStr">
        <is>
          <t>MOA</t>
        </is>
      </c>
      <c r="G9" s="4" t="inlineStr">
        <is>
          <t>Définition</t>
        </is>
      </c>
      <c r="H9" s="4" t="inlineStr">
        <is>
          <t>Validé</t>
        </is>
      </c>
      <c r="I9" s="4" t="inlineStr">
        <is>
          <t>Mme. Sara (MOA)</t>
        </is>
      </c>
      <c r="J9" s="4" t="inlineStr">
        <is>
          <t>15/01/2026</t>
        </is>
      </c>
      <c r="K9" s="4" t="inlineStr">
        <is>
          <t>SPEC-009</t>
        </is>
      </c>
      <c r="L9" s="4" t="inlineStr">
        <is>
          <t>TST-008</t>
        </is>
      </c>
      <c r="M9" s="4" t="inlineStr"/>
      <c r="N9" s="4" t="inlineStr">
        <is>
          <t>Module Account Odoo standard + trigger custom</t>
        </is>
      </c>
    </row>
    <row r="10">
      <c r="A10" s="5" t="inlineStr">
        <is>
          <t>EXG-008</t>
        </is>
      </c>
      <c r="B10" s="5" t="inlineStr">
        <is>
          <t>Fonctionnel</t>
        </is>
      </c>
      <c r="C10" s="5" t="inlineStr">
        <is>
          <t>Emails transactionnels automatisés</t>
        </is>
      </c>
      <c r="D10" s="5" t="inlineStr">
        <is>
          <t>Le système envoie automatiquement par email : confirmation de commande, confirmation d'expédition avec numéro de suivi, facture PDF, confirmation de retour et remboursement.</t>
        </is>
      </c>
      <c r="E10" s="5" t="inlineStr">
        <is>
          <t>Haute</t>
        </is>
      </c>
      <c r="F10" s="5" t="inlineStr">
        <is>
          <t>MOA</t>
        </is>
      </c>
      <c r="G10" s="5" t="inlineStr">
        <is>
          <t>Définition</t>
        </is>
      </c>
      <c r="H10" s="5" t="inlineStr">
        <is>
          <t>Validé</t>
        </is>
      </c>
      <c r="I10" s="5" t="inlineStr">
        <is>
          <t>M. Karim (MOA)</t>
        </is>
      </c>
      <c r="J10" s="5" t="inlineStr">
        <is>
          <t>15/01/2026</t>
        </is>
      </c>
      <c r="K10" s="5" t="inlineStr">
        <is>
          <t>SPEC-010</t>
        </is>
      </c>
      <c r="L10" s="5" t="inlineStr">
        <is>
          <t>TST-009</t>
        </is>
      </c>
      <c r="M10" s="5" t="inlineStr"/>
      <c r="N10" s="5" t="inlineStr">
        <is>
          <t>Templates mail.template Odoo custom</t>
        </is>
      </c>
    </row>
    <row r="11">
      <c r="A11" s="4" t="inlineStr">
        <is>
          <t>EXG-009</t>
        </is>
      </c>
      <c r="B11" s="4" t="inlineStr">
        <is>
          <t>Fonctionnel</t>
        </is>
      </c>
      <c r="C11" s="4" t="inlineStr">
        <is>
          <t>Gestion des retours et remboursements</t>
        </is>
      </c>
      <c r="D11" s="4" t="inlineStr">
        <is>
          <t>Le client peut initier une demande de retour depuis son espace dans les 30 jours suivant la réception. Odoo génère un bon de retour, l'avoir comptable et déclenche le remboursement CB automatiquement.</t>
        </is>
      </c>
      <c r="E11" s="4" t="inlineStr">
        <is>
          <t>Haute</t>
        </is>
      </c>
      <c r="F11" s="4" t="inlineStr">
        <is>
          <t>Client</t>
        </is>
      </c>
      <c r="G11" s="4" t="inlineStr">
        <is>
          <t>Définition</t>
        </is>
      </c>
      <c r="H11" s="4" t="inlineStr">
        <is>
          <t>Validé</t>
        </is>
      </c>
      <c r="I11" s="4" t="inlineStr">
        <is>
          <t>M. Karim (MOA)</t>
        </is>
      </c>
      <c r="J11" s="4" t="inlineStr">
        <is>
          <t>18/01/2026</t>
        </is>
      </c>
      <c r="K11" s="4" t="inlineStr">
        <is>
          <t>SPEC-011</t>
        </is>
      </c>
      <c r="L11" s="4" t="inlineStr">
        <is>
          <t>TST-010</t>
        </is>
      </c>
      <c r="M11" s="4" t="inlineStr"/>
      <c r="N11" s="4" t="inlineStr">
        <is>
          <t>Module Odoo custom grhades_returns</t>
        </is>
      </c>
    </row>
    <row r="12">
      <c r="A12" s="5" t="inlineStr">
        <is>
          <t>EXG-010</t>
        </is>
      </c>
      <c r="B12" s="5" t="inlineStr">
        <is>
          <t>Fonctionnel</t>
        </is>
      </c>
      <c r="C12" s="5" t="inlineStr">
        <is>
          <t>Moteur de recherche produits avec filtres</t>
        </is>
      </c>
      <c r="D12" s="5" t="inlineStr">
        <is>
          <t>La barre de recherche permet une recherche par mots-clés, avec filtres par catégorie, fourchette de prix, disponibilité et marque. Les résultats sont paginés (24 produits par page) et triables.</t>
        </is>
      </c>
      <c r="E12" s="5" t="inlineStr">
        <is>
          <t>Haute</t>
        </is>
      </c>
      <c r="F12" s="5" t="inlineStr">
        <is>
          <t>Client</t>
        </is>
      </c>
      <c r="G12" s="5" t="inlineStr">
        <is>
          <t>Définition</t>
        </is>
      </c>
      <c r="H12" s="5" t="inlineStr">
        <is>
          <t>Validé</t>
        </is>
      </c>
      <c r="I12" s="5" t="inlineStr">
        <is>
          <t>M. Amine (Dev)</t>
        </is>
      </c>
      <c r="J12" s="5" t="inlineStr">
        <is>
          <t>18/01/2026</t>
        </is>
      </c>
      <c r="K12" s="5" t="inlineStr">
        <is>
          <t>SPEC-012</t>
        </is>
      </c>
      <c r="L12" s="5" t="inlineStr">
        <is>
          <t>TST-011</t>
        </is>
      </c>
      <c r="M12" s="5" t="inlineStr"/>
      <c r="N12" s="5" t="inlineStr">
        <is>
          <t>Odoo eCommerce search natif + améliorations custom</t>
        </is>
      </c>
    </row>
    <row r="13">
      <c r="A13" s="4" t="inlineStr">
        <is>
          <t>EXG-011</t>
        </is>
      </c>
      <c r="B13" s="4" t="inlineStr">
        <is>
          <t>Fonctionnel</t>
        </is>
      </c>
      <c r="C13" s="4" t="inlineStr">
        <is>
          <t>Programme de fidélité — Points et bons</t>
        </is>
      </c>
      <c r="D13" s="4" t="inlineStr">
        <is>
          <t>Les clients accumulent 1 point par euro dépensé. À partir de 100 points, ils peuvent générer un bon de réduction de 5€. Le module Odoo Loyalty est configuré et étendu par un module custom.</t>
        </is>
      </c>
      <c r="E13" s="4" t="inlineStr">
        <is>
          <t>Moyenne</t>
        </is>
      </c>
      <c r="F13" s="4" t="inlineStr">
        <is>
          <t>Client</t>
        </is>
      </c>
      <c r="G13" s="4" t="inlineStr">
        <is>
          <t>Définition</t>
        </is>
      </c>
      <c r="H13" s="4" t="inlineStr">
        <is>
          <t>Validé</t>
        </is>
      </c>
      <c r="I13" s="4" t="inlineStr">
        <is>
          <t>M. Karim (MOA)</t>
        </is>
      </c>
      <c r="J13" s="4" t="inlineStr">
        <is>
          <t>20/01/2026</t>
        </is>
      </c>
      <c r="K13" s="4" t="inlineStr">
        <is>
          <t>SPEC-013</t>
        </is>
      </c>
      <c r="L13" s="4" t="inlineStr">
        <is>
          <t>TST-012</t>
        </is>
      </c>
      <c r="M13" s="4" t="inlineStr"/>
      <c r="N13" s="4" t="inlineStr">
        <is>
          <t>Module Odoo Loyalty + grhades_loyalty_custom</t>
        </is>
      </c>
    </row>
    <row r="14">
      <c r="A14" s="5" t="inlineStr">
        <is>
          <t>EXG-012</t>
        </is>
      </c>
      <c r="B14" s="5" t="inlineStr">
        <is>
          <t>Fonctionnel</t>
        </is>
      </c>
      <c r="C14" s="5" t="inlineStr">
        <is>
          <t>Avis et notes produits</t>
        </is>
      </c>
      <c r="D14" s="5" t="inlineStr">
        <is>
          <t>Les clients ayant passé commande peuvent déposer un avis (note de 1 à 5 étoiles + commentaire texte). Les avis sont soumis à modération avant publication. La note moyenne est affichée sur la fiche produit.</t>
        </is>
      </c>
      <c r="E14" s="5" t="inlineStr">
        <is>
          <t>Moyenne</t>
        </is>
      </c>
      <c r="F14" s="5" t="inlineStr">
        <is>
          <t>Client</t>
        </is>
      </c>
      <c r="G14" s="5" t="inlineStr">
        <is>
          <t>Définition</t>
        </is>
      </c>
      <c r="H14" s="5" t="inlineStr">
        <is>
          <t>Validé</t>
        </is>
      </c>
      <c r="I14" s="5" t="inlineStr">
        <is>
          <t>M. Amine (Dev)</t>
        </is>
      </c>
      <c r="J14" s="5" t="inlineStr">
        <is>
          <t>20/01/2026</t>
        </is>
      </c>
      <c r="K14" s="5" t="inlineStr">
        <is>
          <t>SPEC-014</t>
        </is>
      </c>
      <c r="L14" s="5" t="inlineStr">
        <is>
          <t>TST-013</t>
        </is>
      </c>
      <c r="M14" s="5" t="inlineStr"/>
      <c r="N14" s="5" t="inlineStr">
        <is>
          <t>Modèle product.review custom Odoo</t>
        </is>
      </c>
    </row>
    <row r="15">
      <c r="A15" s="4" t="inlineStr">
        <is>
          <t>EXG-013</t>
        </is>
      </c>
      <c r="B15" s="4" t="inlineStr">
        <is>
          <t>Fonctionnel</t>
        </is>
      </c>
      <c r="C15" s="4" t="inlineStr">
        <is>
          <t>Codes promotionnels et remises</t>
        </is>
      </c>
      <c r="D15" s="4" t="inlineStr">
        <is>
          <t>L'équipe marketing peut créer des codes promo (pourcentage ou montant fixe, date de validité, nombre d'utilisations maximum, produits éligibles) dans le module Odoo Coupon.</t>
        </is>
      </c>
      <c r="E15" s="4" t="inlineStr">
        <is>
          <t>Haute</t>
        </is>
      </c>
      <c r="F15" s="4" t="inlineStr">
        <is>
          <t>MOA</t>
        </is>
      </c>
      <c r="G15" s="4" t="inlineStr">
        <is>
          <t>Définition</t>
        </is>
      </c>
      <c r="H15" s="4" t="inlineStr">
        <is>
          <t>Validé</t>
        </is>
      </c>
      <c r="I15" s="4" t="inlineStr">
        <is>
          <t>Mme. Sara (MOA)</t>
        </is>
      </c>
      <c r="J15" s="4" t="inlineStr">
        <is>
          <t>22/01/2026</t>
        </is>
      </c>
      <c r="K15" s="4" t="inlineStr">
        <is>
          <t>SPEC-015</t>
        </is>
      </c>
      <c r="L15" s="4" t="inlineStr">
        <is>
          <t>TST-014</t>
        </is>
      </c>
      <c r="M15" s="4" t="inlineStr"/>
      <c r="N15" s="4" t="inlineStr">
        <is>
          <t>Module Odoo Coupon standard + grhades_coupon_custom</t>
        </is>
      </c>
    </row>
    <row r="16">
      <c r="A16" s="5" t="inlineStr">
        <is>
          <t>EXG-014</t>
        </is>
      </c>
      <c r="B16" s="5" t="inlineStr">
        <is>
          <t>Fonctionnel</t>
        </is>
      </c>
      <c r="C16" s="5" t="inlineStr">
        <is>
          <t>Suivi de livraison intégré</t>
        </is>
      </c>
      <c r="D16" s="5" t="inlineStr">
        <is>
          <t>Après expédition, le client reçoit un email avec le numéro de suivi et peut consulter le statut de livraison directement dans son espace client (lien vers le site du transporteur).</t>
        </is>
      </c>
      <c r="E16" s="5" t="inlineStr">
        <is>
          <t>Haute</t>
        </is>
      </c>
      <c r="F16" s="5" t="inlineStr">
        <is>
          <t>Client</t>
        </is>
      </c>
      <c r="G16" s="5" t="inlineStr">
        <is>
          <t>Définition</t>
        </is>
      </c>
      <c r="H16" s="5" t="inlineStr">
        <is>
          <t>Validé</t>
        </is>
      </c>
      <c r="I16" s="5" t="inlineStr">
        <is>
          <t>M. Yassine (Tech)</t>
        </is>
      </c>
      <c r="J16" s="5" t="inlineStr">
        <is>
          <t>22/01/2026</t>
        </is>
      </c>
      <c r="K16" s="5" t="inlineStr">
        <is>
          <t>SPEC-016</t>
        </is>
      </c>
      <c r="L16" s="5" t="inlineStr">
        <is>
          <t>TST-015</t>
        </is>
      </c>
      <c r="M16" s="5" t="inlineStr"/>
      <c r="N16" s="5" t="inlineStr">
        <is>
          <t>Module Odoo custom grhades_delivery_tracking</t>
        </is>
      </c>
    </row>
    <row r="17">
      <c r="A17" s="4" t="inlineStr">
        <is>
          <t>EXG-015</t>
        </is>
      </c>
      <c r="B17" s="4" t="inlineStr">
        <is>
          <t>Fonctionnel</t>
        </is>
      </c>
      <c r="C17" s="4" t="inlineStr">
        <is>
          <t>CRM — Capture et qualification des leads</t>
        </is>
      </c>
      <c r="D17" s="4" t="inlineStr">
        <is>
          <t>Tout formulaire de contact soumis sur le site crée automatiquement un lead dans le module CRM Odoo. Le lead est assigné selon les règles de routage configurées (canal, catégorie produit, zone géographique).</t>
        </is>
      </c>
      <c r="E17" s="4" t="inlineStr">
        <is>
          <t>Haute</t>
        </is>
      </c>
      <c r="F17" s="4" t="inlineStr">
        <is>
          <t>MOA</t>
        </is>
      </c>
      <c r="G17" s="4" t="inlineStr">
        <is>
          <t>Définition</t>
        </is>
      </c>
      <c r="H17" s="4" t="inlineStr">
        <is>
          <t>Validé</t>
        </is>
      </c>
      <c r="I17" s="4" t="inlineStr">
        <is>
          <t>Mme. Sara (MOA)</t>
        </is>
      </c>
      <c r="J17" s="4" t="inlineStr">
        <is>
          <t>25/01/2026</t>
        </is>
      </c>
      <c r="K17" s="4" t="inlineStr">
        <is>
          <t>SPEC-017</t>
        </is>
      </c>
      <c r="L17" s="4" t="inlineStr">
        <is>
          <t>TST-016</t>
        </is>
      </c>
      <c r="M17" s="4" t="inlineStr"/>
      <c r="N17" s="4" t="inlineStr">
        <is>
          <t>Module CRM Odoo + grhades_crm_website</t>
        </is>
      </c>
    </row>
    <row r="18">
      <c r="A18" s="5" t="inlineStr">
        <is>
          <t>EXG-016</t>
        </is>
      </c>
      <c r="B18" s="5" t="inlineStr">
        <is>
          <t>Fonctionnel</t>
        </is>
      </c>
      <c r="C18" s="5" t="inlineStr">
        <is>
          <t>Campagnes emailing marketing</t>
        </is>
      </c>
      <c r="D18" s="5" t="inlineStr">
        <is>
          <t>L'équipe marketing peut créer, planifier et envoyer des campagnes emailing depuis Odoo Marketing (Mass Mailing). Segments disponibles : nouveaux clients, clients inactifs +60j, paniers abandonnés.</t>
        </is>
      </c>
      <c r="E18" s="5" t="inlineStr">
        <is>
          <t>Moyenne</t>
        </is>
      </c>
      <c r="F18" s="5" t="inlineStr">
        <is>
          <t>MOA</t>
        </is>
      </c>
      <c r="G18" s="5" t="inlineStr">
        <is>
          <t>Conception</t>
        </is>
      </c>
      <c r="H18" s="5" t="inlineStr">
        <is>
          <t>Validé</t>
        </is>
      </c>
      <c r="I18" s="5" t="inlineStr">
        <is>
          <t>Mme. Sara (MOA)</t>
        </is>
      </c>
      <c r="J18" s="5" t="inlineStr">
        <is>
          <t>05/02/2026</t>
        </is>
      </c>
      <c r="K18" s="5" t="inlineStr">
        <is>
          <t>SPEC-018</t>
        </is>
      </c>
      <c r="L18" s="5" t="inlineStr">
        <is>
          <t>TST-017</t>
        </is>
      </c>
      <c r="M18" s="5" t="inlineStr"/>
      <c r="N18" s="5" t="inlineStr">
        <is>
          <t>Module Odoo Mass Mailing + grhades_marketing_automation</t>
        </is>
      </c>
    </row>
    <row r="19">
      <c r="A19" s="4" t="inlineStr">
        <is>
          <t>EXG-017</t>
        </is>
      </c>
      <c r="B19" s="4" t="inlineStr">
        <is>
          <t>Fonctionnel</t>
        </is>
      </c>
      <c r="C19" s="4" t="inlineStr">
        <is>
          <t>Récupération des paniers abandonnés</t>
        </is>
      </c>
      <c r="D19" s="4" t="inlineStr">
        <is>
          <t>Un module Odoo custom détecte les paniers non validés depuis plus de 2 heures et déclenche une séquence d'emails de relance (J+2h, J+1, J+3) via Odoo Marketing Automation.</t>
        </is>
      </c>
      <c r="E19" s="4" t="inlineStr">
        <is>
          <t>Haute</t>
        </is>
      </c>
      <c r="F19" s="4" t="inlineStr">
        <is>
          <t>MOA</t>
        </is>
      </c>
      <c r="G19" s="4" t="inlineStr">
        <is>
          <t>Conception</t>
        </is>
      </c>
      <c r="H19" s="4" t="inlineStr">
        <is>
          <t>Validé</t>
        </is>
      </c>
      <c r="I19" s="4" t="inlineStr">
        <is>
          <t>M. Amine (Dev)</t>
        </is>
      </c>
      <c r="J19" s="4" t="inlineStr">
        <is>
          <t>08/02/2026</t>
        </is>
      </c>
      <c r="K19" s="4" t="inlineStr">
        <is>
          <t>SPEC-019</t>
        </is>
      </c>
      <c r="L19" s="4" t="inlineStr">
        <is>
          <t>TST-018</t>
        </is>
      </c>
      <c r="M19" s="4" t="inlineStr"/>
      <c r="N19" s="4" t="inlineStr">
        <is>
          <t>Module grhades_abandoned_cart — KPI clé</t>
        </is>
      </c>
    </row>
    <row r="20">
      <c r="A20" s="5" t="inlineStr">
        <is>
          <t>EXG-018</t>
        </is>
      </c>
      <c r="B20" s="5" t="inlineStr">
        <is>
          <t>Fonctionnel</t>
        </is>
      </c>
      <c r="C20" s="5" t="inlineStr">
        <is>
          <t>Tableau de bord KPI e-commerce</t>
        </is>
      </c>
      <c r="D20" s="5" t="inlineStr">
        <is>
          <t>Le responsable e-commerce dispose d'un dashboard Odoo affichant : CA du jour/mois/année, nombre de commandes, panier moyen, taux de conversion, top 10 produits, taux de retour.</t>
        </is>
      </c>
      <c r="E20" s="5" t="inlineStr">
        <is>
          <t>Moyenne</t>
        </is>
      </c>
      <c r="F20" s="5" t="inlineStr">
        <is>
          <t>MOA</t>
        </is>
      </c>
      <c r="G20" s="5" t="inlineStr">
        <is>
          <t>Conception</t>
        </is>
      </c>
      <c r="H20" s="5" t="inlineStr">
        <is>
          <t>Validé</t>
        </is>
      </c>
      <c r="I20" s="5" t="inlineStr">
        <is>
          <t>Mme. Sara (MOA)</t>
        </is>
      </c>
      <c r="J20" s="5" t="inlineStr">
        <is>
          <t>10/02/2026</t>
        </is>
      </c>
      <c r="K20" s="5" t="inlineStr">
        <is>
          <t>SPEC-020</t>
        </is>
      </c>
      <c r="L20" s="5" t="inlineStr">
        <is>
          <t>TST-019</t>
        </is>
      </c>
      <c r="M20" s="5" t="inlineStr"/>
      <c r="N20" s="5" t="inlineStr">
        <is>
          <t>Dashboard Odoo custom views + computed fields Python</t>
        </is>
      </c>
    </row>
    <row r="21">
      <c r="A21" s="4" t="inlineStr">
        <is>
          <t>EXG-019</t>
        </is>
      </c>
      <c r="B21" s="4" t="inlineStr">
        <is>
          <t>Non-fonctionnel</t>
        </is>
      </c>
      <c r="C21" s="4" t="inlineStr">
        <is>
          <t>Performance — Temps de chargement &lt; 3s</t>
        </is>
      </c>
      <c r="D21" s="4" t="inlineStr">
        <is>
          <t>Toutes les pages du site se chargent en moins de 3 secondes pour 95% des requêtes sous charge nominale de 300 utilisateurs simultanés. Score Google PageSpeed &gt; 80 en mobile.</t>
        </is>
      </c>
      <c r="E21" s="4" t="inlineStr">
        <is>
          <t>Critique</t>
        </is>
      </c>
      <c r="F21" s="4" t="inlineStr">
        <is>
          <t>MOA</t>
        </is>
      </c>
      <c r="G21" s="4" t="inlineStr">
        <is>
          <t>Conception</t>
        </is>
      </c>
      <c r="H21" s="4" t="inlineStr">
        <is>
          <t>Validé</t>
        </is>
      </c>
      <c r="I21" s="4" t="inlineStr">
        <is>
          <t>M. Yassine (Tech)</t>
        </is>
      </c>
      <c r="J21" s="4" t="inlineStr">
        <is>
          <t>12/02/2026</t>
        </is>
      </c>
      <c r="K21" s="4" t="inlineStr">
        <is>
          <t>SPEC-021</t>
        </is>
      </c>
      <c r="L21" s="4" t="inlineStr">
        <is>
          <t>TST-020</t>
        </is>
      </c>
      <c r="M21" s="4" t="inlineStr"/>
      <c r="N21" s="4" t="inlineStr">
        <is>
          <t>Cache Odoo + optimisation assets + CDN interne</t>
        </is>
      </c>
    </row>
    <row r="22">
      <c r="A22" s="5" t="inlineStr">
        <is>
          <t>EXG-020</t>
        </is>
      </c>
      <c r="B22" s="5" t="inlineStr">
        <is>
          <t>Non-fonctionnel</t>
        </is>
      </c>
      <c r="C22" s="5" t="inlineStr">
        <is>
          <t>Compatibilité mobile responsive</t>
        </is>
      </c>
      <c r="D22" s="5" t="inlineStr">
        <is>
          <t>Le site est entièrement utilisable sur mobile (iOS 15+, Android 10+) et tablette. Le thème Odoo eCommerce est personnalisé avec un design responsive. Score Lighthouse mobile &gt; 80.</t>
        </is>
      </c>
      <c r="E22" s="5" t="inlineStr">
        <is>
          <t>Haute</t>
        </is>
      </c>
      <c r="F22" s="5" t="inlineStr">
        <is>
          <t>Client</t>
        </is>
      </c>
      <c r="G22" s="5" t="inlineStr">
        <is>
          <t>Conception</t>
        </is>
      </c>
      <c r="H22" s="5" t="inlineStr">
        <is>
          <t>Validé</t>
        </is>
      </c>
      <c r="I22" s="5" t="inlineStr">
        <is>
          <t>M. Amine (Dev)</t>
        </is>
      </c>
      <c r="J22" s="5" t="inlineStr">
        <is>
          <t>15/02/2026</t>
        </is>
      </c>
      <c r="K22" s="5" t="inlineStr">
        <is>
          <t>SPEC-022</t>
        </is>
      </c>
      <c r="L22" s="5" t="inlineStr">
        <is>
          <t>TST-021</t>
        </is>
      </c>
      <c r="M22" s="5" t="inlineStr"/>
      <c r="N22" s="5" t="inlineStr">
        <is>
          <t>Thème Odoo Bootstrap 5 custom</t>
        </is>
      </c>
    </row>
    <row r="23">
      <c r="A23" s="4" t="inlineStr">
        <is>
          <t>EXG-021</t>
        </is>
      </c>
      <c r="B23" s="4" t="inlineStr">
        <is>
          <t>Sécurité</t>
        </is>
      </c>
      <c r="C23" s="4" t="inlineStr">
        <is>
          <t>Authentification et gestion des sessions</t>
        </is>
      </c>
      <c r="D23" s="4" t="inlineStr">
        <is>
          <t>Connexion par email/mot de passe + option 'Se connecter avec Google' (OAuth2 Odoo). Sessions expirées après 60 min d'inactivité. Blocage du compte après 5 tentatives échouées.</t>
        </is>
      </c>
      <c r="E23" s="4" t="inlineStr">
        <is>
          <t>Critique</t>
        </is>
      </c>
      <c r="F23" s="4" t="inlineStr">
        <is>
          <t>MOA</t>
        </is>
      </c>
      <c r="G23" s="4" t="inlineStr">
        <is>
          <t>Conception</t>
        </is>
      </c>
      <c r="H23" s="4" t="inlineStr">
        <is>
          <t>Validé</t>
        </is>
      </c>
      <c r="I23" s="4" t="inlineStr">
        <is>
          <t>M. Yassine (Tech)</t>
        </is>
      </c>
      <c r="J23" s="4" t="inlineStr">
        <is>
          <t>18/02/2026</t>
        </is>
      </c>
      <c r="K23" s="4" t="inlineStr">
        <is>
          <t>SPEC-023</t>
        </is>
      </c>
      <c r="L23" s="4" t="inlineStr">
        <is>
          <t>TST-022</t>
        </is>
      </c>
      <c r="M23" s="4" t="inlineStr"/>
      <c r="N23" s="4" t="inlineStr">
        <is>
          <t>Module Odoo auth_oauth + grhades_security</t>
        </is>
      </c>
    </row>
    <row r="24">
      <c r="A24" s="5" t="inlineStr">
        <is>
          <t>EXG-022</t>
        </is>
      </c>
      <c r="B24" s="5" t="inlineStr">
        <is>
          <t>Sécurité</t>
        </is>
      </c>
      <c r="C24" s="5" t="inlineStr">
        <is>
          <t>Conformité RGPD</t>
        </is>
      </c>
      <c r="D24" s="5" t="inlineStr">
        <is>
          <t>Bandeau de consentement aux cookies (granulaire : analytique, marketing, fonctionnel). Droit à l'oubli (anonymisation du compte sur demande). Export des données personnelles. Registre des traitements.</t>
        </is>
      </c>
      <c r="E24" s="5" t="inlineStr">
        <is>
          <t>Critique</t>
        </is>
      </c>
      <c r="F24" s="5" t="inlineStr">
        <is>
          <t>Réglementaire</t>
        </is>
      </c>
      <c r="G24" s="5" t="inlineStr">
        <is>
          <t>Conception</t>
        </is>
      </c>
      <c r="H24" s="5" t="inlineStr">
        <is>
          <t>Validé</t>
        </is>
      </c>
      <c r="I24" s="5" t="inlineStr">
        <is>
          <t>Mme. Sara (MOA)</t>
        </is>
      </c>
      <c r="J24" s="5" t="inlineStr">
        <is>
          <t>18/02/2026</t>
        </is>
      </c>
      <c r="K24" s="5" t="inlineStr">
        <is>
          <t>SPEC-024</t>
        </is>
      </c>
      <c r="L24" s="5" t="inlineStr">
        <is>
          <t>TST-023</t>
        </is>
      </c>
      <c r="M24" s="5" t="inlineStr"/>
      <c r="N24" s="5" t="inlineStr">
        <is>
          <t>Module grhades_rgpd + validation juridique</t>
        </is>
      </c>
    </row>
    <row r="25">
      <c r="A25" s="4" t="inlineStr">
        <is>
          <t>EXG-023</t>
        </is>
      </c>
      <c r="B25" s="4" t="inlineStr">
        <is>
          <t>Sécurité</t>
        </is>
      </c>
      <c r="C25" s="4" t="inlineStr">
        <is>
          <t>Sécurisation des paiements</t>
        </is>
      </c>
      <c r="D25" s="4" t="inlineStr">
        <is>
          <t>Aucune donnée bancaire n'est stockée sur les serveurs GRHADES (tokenisation Stripe). HTTPS forcé sur toutes les pages (HSTS). Audit de sécurité OWASP avant mise en production.</t>
        </is>
      </c>
      <c r="E25" s="4" t="inlineStr">
        <is>
          <t>Critique</t>
        </is>
      </c>
      <c r="F25" s="4" t="inlineStr">
        <is>
          <t>Réglementaire</t>
        </is>
      </c>
      <c r="G25" s="4" t="inlineStr">
        <is>
          <t>Conception</t>
        </is>
      </c>
      <c r="H25" s="4" t="inlineStr">
        <is>
          <t>Validé</t>
        </is>
      </c>
      <c r="I25" s="4" t="inlineStr">
        <is>
          <t>M. Yassine (Tech)</t>
        </is>
      </c>
      <c r="J25" s="4" t="inlineStr">
        <is>
          <t>20/02/2026</t>
        </is>
      </c>
      <c r="K25" s="4" t="inlineStr">
        <is>
          <t>SPEC-025</t>
        </is>
      </c>
      <c r="L25" s="4" t="inlineStr">
        <is>
          <t>TST-024</t>
        </is>
      </c>
      <c r="M25" s="4" t="inlineStr"/>
      <c r="N25" s="4" t="inlineStr">
        <is>
          <t>PCI-DSS SAQ A — tokenisation uniquement</t>
        </is>
      </c>
    </row>
    <row r="26">
      <c r="A26" s="5" t="inlineStr">
        <is>
          <t>EXG-024</t>
        </is>
      </c>
      <c r="B26" s="5" t="inlineStr">
        <is>
          <t>Fonctionnel</t>
        </is>
      </c>
      <c r="C26" s="5" t="inlineStr">
        <is>
          <t>Multilingue Français / Anglais</t>
        </is>
      </c>
      <c r="D26" s="5" t="inlineStr">
        <is>
          <t>Le site est disponible en français (langue par défaut) et en anglais. Le visiteur peut changer de langue depuis le header. Les traductions produits sont gérées dans Odoo (ir.translation).</t>
        </is>
      </c>
      <c r="E26" s="5" t="inlineStr">
        <is>
          <t>Moyenne</t>
        </is>
      </c>
      <c r="F26" s="5" t="inlineStr">
        <is>
          <t>Client</t>
        </is>
      </c>
      <c r="G26" s="5" t="inlineStr">
        <is>
          <t>Conception</t>
        </is>
      </c>
      <c r="H26" s="5" t="inlineStr">
        <is>
          <t>Validé</t>
        </is>
      </c>
      <c r="I26" s="5" t="inlineStr">
        <is>
          <t>M. Amine (Dev)</t>
        </is>
      </c>
      <c r="J26" s="5" t="inlineStr">
        <is>
          <t>22/02/2026</t>
        </is>
      </c>
      <c r="K26" s="5" t="inlineStr">
        <is>
          <t>SPEC-026</t>
        </is>
      </c>
      <c r="L26" s="5" t="inlineStr">
        <is>
          <t>TST-025</t>
        </is>
      </c>
      <c r="M26" s="5" t="inlineStr"/>
      <c r="N26" s="5" t="inlineStr">
        <is>
          <t>Langues activées : fr_FR, en_US</t>
        </is>
      </c>
    </row>
    <row r="27">
      <c r="A27" s="4" t="inlineStr">
        <is>
          <t>EXG-025</t>
        </is>
      </c>
      <c r="B27" s="4" t="inlineStr">
        <is>
          <t>Technique</t>
        </is>
      </c>
      <c r="C27" s="4" t="inlineStr">
        <is>
          <t>Module Odoo custom — Tableau de bord avancé</t>
        </is>
      </c>
      <c r="D27" s="4" t="inlineStr">
        <is>
          <t>Développement du module Python Odoo grhades_dashboard : modèles computed fields pour les KPIs e-commerce, vues Odoo (ir.ui.view), graphes OWL. Tests unitaires obligatoires (coverage &gt; 80%).</t>
        </is>
      </c>
      <c r="E27" s="4" t="inlineStr">
        <is>
          <t>Haute</t>
        </is>
      </c>
      <c r="F27" s="4" t="inlineStr">
        <is>
          <t>MOE</t>
        </is>
      </c>
      <c r="G27" s="4" t="inlineStr">
        <is>
          <t>Réalisation</t>
        </is>
      </c>
      <c r="H27" s="4" t="inlineStr">
        <is>
          <t>En cours</t>
        </is>
      </c>
      <c r="I27" s="4" t="inlineStr">
        <is>
          <t>M. Amine (Dev)</t>
        </is>
      </c>
      <c r="J27" s="4" t="inlineStr"/>
      <c r="K27" s="4" t="inlineStr">
        <is>
          <t>SPEC-027</t>
        </is>
      </c>
      <c r="L27" s="4" t="inlineStr"/>
      <c r="M27" s="4" t="inlineStr"/>
      <c r="N27" s="4" t="inlineStr">
        <is>
          <t>Sprint 3 en cours — graphes CA terminés</t>
        </is>
      </c>
    </row>
    <row r="28">
      <c r="A28" s="5" t="inlineStr">
        <is>
          <t>EXG-026</t>
        </is>
      </c>
      <c r="B28" s="5" t="inlineStr">
        <is>
          <t>Technique</t>
        </is>
      </c>
      <c r="C28" s="5" t="inlineStr">
        <is>
          <t>Module Odoo custom — Récupération paniers abandonnés</t>
        </is>
      </c>
      <c r="D28" s="5" t="inlineStr">
        <is>
          <t>Développement du module Python grhades_abandoned_cart : modèle sale.order avec champ state='cart', cron Odoo détectant les paniers inactifs, séquence email via marketing.automation.</t>
        </is>
      </c>
      <c r="E28" s="5" t="inlineStr">
        <is>
          <t>Haute</t>
        </is>
      </c>
      <c r="F28" s="5" t="inlineStr">
        <is>
          <t>MOE</t>
        </is>
      </c>
      <c r="G28" s="5" t="inlineStr">
        <is>
          <t>Réalisation</t>
        </is>
      </c>
      <c r="H28" s="5" t="inlineStr">
        <is>
          <t>En cours</t>
        </is>
      </c>
      <c r="I28" s="5" t="inlineStr">
        <is>
          <t>M. Amine (Dev)</t>
        </is>
      </c>
      <c r="J28" s="5" t="inlineStr"/>
      <c r="K28" s="5" t="inlineStr">
        <is>
          <t>SPEC-028</t>
        </is>
      </c>
      <c r="L28" s="5" t="inlineStr"/>
      <c r="M28" s="5" t="inlineStr"/>
      <c r="N28" s="5" t="inlineStr">
        <is>
          <t>Sprint 3 — cron fonctionnel, séquence email en dev</t>
        </is>
      </c>
    </row>
    <row r="29">
      <c r="A29" s="4" t="inlineStr">
        <is>
          <t>EXG-027</t>
        </is>
      </c>
      <c r="B29" s="4" t="inlineStr">
        <is>
          <t>Technique</t>
        </is>
      </c>
      <c r="C29" s="4" t="inlineStr">
        <is>
          <t>Module Odoo custom — Avis produits</t>
        </is>
      </c>
      <c r="D29" s="4" t="inlineStr">
        <is>
          <t>Développement du module Python grhades_product_review : modèle product.review lié à product.template et res.partner, interface de modération dans le back-office Odoo, widget étoiles en front.</t>
        </is>
      </c>
      <c r="E29" s="4" t="inlineStr">
        <is>
          <t>Moyenne</t>
        </is>
      </c>
      <c r="F29" s="4" t="inlineStr">
        <is>
          <t>MOE</t>
        </is>
      </c>
      <c r="G29" s="4" t="inlineStr">
        <is>
          <t>Réalisation</t>
        </is>
      </c>
      <c r="H29" s="4" t="inlineStr">
        <is>
          <t>En cours</t>
        </is>
      </c>
      <c r="I29" s="4" t="inlineStr">
        <is>
          <t>M. Amine (Dev)</t>
        </is>
      </c>
      <c r="J29" s="4" t="inlineStr"/>
      <c r="K29" s="4" t="inlineStr">
        <is>
          <t>SPEC-029</t>
        </is>
      </c>
      <c r="L29" s="4" t="inlineStr"/>
      <c r="M29" s="4" t="inlineStr"/>
      <c r="N29" s="4" t="inlineStr">
        <is>
          <t>Sprint 3 — modèle et vues back-office terminés</t>
        </is>
      </c>
    </row>
    <row r="30">
      <c r="A30" s="5" t="inlineStr">
        <is>
          <t>EXG-028</t>
        </is>
      </c>
      <c r="B30" s="5" t="inlineStr">
        <is>
          <t>Technique</t>
        </is>
      </c>
      <c r="C30" s="5" t="inlineStr">
        <is>
          <t>Module Odoo custom — RGPD</t>
        </is>
      </c>
      <c r="D30" s="5" t="inlineStr">
        <is>
          <t>Développement du module Python grhades_rgpd : endpoint /rgpd/oubli (anonymisation res.partner), endpoint /rgpd/export (JSON données personnelles), journal des accès (res.log), bandeau cookies OWL.</t>
        </is>
      </c>
      <c r="E30" s="5" t="inlineStr">
        <is>
          <t>Critique</t>
        </is>
      </c>
      <c r="F30" s="5" t="inlineStr">
        <is>
          <t>MOE</t>
        </is>
      </c>
      <c r="G30" s="5" t="inlineStr">
        <is>
          <t>Réalisation</t>
        </is>
      </c>
      <c r="H30" s="5" t="inlineStr">
        <is>
          <t>En cours</t>
        </is>
      </c>
      <c r="I30" s="5" t="inlineStr">
        <is>
          <t>M. Yassine (Tech)</t>
        </is>
      </c>
      <c r="J30" s="5" t="inlineStr"/>
      <c r="K30" s="5" t="inlineStr">
        <is>
          <t>SPEC-030</t>
        </is>
      </c>
      <c r="L30" s="5" t="inlineStr"/>
      <c r="M30" s="5" t="inlineStr"/>
      <c r="N30" s="5" t="inlineStr">
        <is>
          <t>Sprint 3 — anonymisation OK, export en dev</t>
        </is>
      </c>
    </row>
    <row r="31">
      <c r="A31" s="4" t="inlineStr">
        <is>
          <t>EXG-029</t>
        </is>
      </c>
      <c r="B31" s="4" t="inlineStr">
        <is>
          <t>Technique</t>
        </is>
      </c>
      <c r="C31" s="4" t="inlineStr">
        <is>
          <t>Module Odoo custom — Remises et coupons avancés</t>
        </is>
      </c>
      <c r="D31" s="4" t="inlineStr">
        <is>
          <t>Développement du module Python grhades_coupon_custom : extension du module Coupon natif pour ajouter les règles de cumul (code promo + fidélité), le plafonnement des remises et les alertes d'expiration.</t>
        </is>
      </c>
      <c r="E31" s="4" t="inlineStr">
        <is>
          <t>Haute</t>
        </is>
      </c>
      <c r="F31" s="4" t="inlineStr">
        <is>
          <t>MOE</t>
        </is>
      </c>
      <c r="G31" s="4" t="inlineStr">
        <is>
          <t>Réalisation</t>
        </is>
      </c>
      <c r="H31" s="4" t="inlineStr">
        <is>
          <t>En attente</t>
        </is>
      </c>
      <c r="I31" s="4" t="inlineStr">
        <is>
          <t>M. Amine (Dev)</t>
        </is>
      </c>
      <c r="J31" s="4" t="inlineStr"/>
      <c r="K31" s="4" t="inlineStr">
        <is>
          <t>SPEC-031</t>
        </is>
      </c>
      <c r="L31" s="4" t="inlineStr"/>
      <c r="M31" s="4" t="inlineStr"/>
      <c r="N31" s="4" t="inlineStr">
        <is>
          <t>Sprint 4 — démarrage le 27/04/2026</t>
        </is>
      </c>
    </row>
    <row r="32">
      <c r="A32" s="5" t="inlineStr">
        <is>
          <t>EXG-030</t>
        </is>
      </c>
      <c r="B32" s="5" t="inlineStr">
        <is>
          <t>Non-fonctionnel</t>
        </is>
      </c>
      <c r="C32" s="5" t="inlineStr">
        <is>
          <t>Sauvegarde automatique et plan de reprise</t>
        </is>
      </c>
      <c r="D32" s="5" t="inlineStr">
        <is>
          <t>Sauvegarde quotidienne automatique de la base PostgreSQL Odoo par script Python (cron 02h00), compression gzip, stockage sur NAS interne avec rétention 30 jours. Test de restauration mensuel documenté.</t>
        </is>
      </c>
      <c r="E32" s="5" t="inlineStr">
        <is>
          <t>Critique</t>
        </is>
      </c>
      <c r="F32" s="5" t="inlineStr">
        <is>
          <t>MOE</t>
        </is>
      </c>
      <c r="G32" s="5" t="inlineStr">
        <is>
          <t>Réalisation</t>
        </is>
      </c>
      <c r="H32" s="5" t="inlineStr">
        <is>
          <t>En attente</t>
        </is>
      </c>
      <c r="I32" s="5" t="inlineStr">
        <is>
          <t>M. Yassine (Tech)</t>
        </is>
      </c>
      <c r="J32" s="5" t="inlineStr"/>
      <c r="K32" s="5" t="inlineStr">
        <is>
          <t>SPEC-032</t>
        </is>
      </c>
      <c r="L32" s="5" t="inlineStr"/>
      <c r="M32" s="5" t="inlineStr"/>
      <c r="N32" s="5" t="inlineStr">
        <is>
          <t>Sprint 4 — NAS en cours de configuration</t>
        </is>
      </c>
    </row>
  </sheetData>
  <autoFilter ref="A1:N32"/>
  <mergeCells count="1">
    <mergeCell ref="A1:N1"/>
  </mergeCells>
  <conditionalFormatting sqref="H3:H73">
    <cfRule type="cellIs" priority="1" operator="equal" dxfId="0">
      <formula>"Validé"</formula>
    </cfRule>
    <cfRule type="cellIs" priority="2" operator="equal" dxfId="1">
      <formula>"Abandonné"</formula>
    </cfRule>
    <cfRule type="cellIs" priority="3" operator="equal" dxfId="2">
      <formula>"En révision"</formula>
    </cfRule>
    <cfRule type="cellIs" priority="4" operator="equal" dxfId="3">
      <formula>"Gelé"</formula>
    </cfRule>
  </conditionalFormatting>
  <conditionalFormatting sqref="E3:E73">
    <cfRule type="cellIs" priority="5" operator="equal" dxfId="1">
      <formula>"Critique"</formula>
    </cfRule>
    <cfRule type="cellIs" priority="6" operator="equal" dxfId="2">
      <formula>"Haute"</formula>
    </cfRule>
    <cfRule type="cellIs" priority="7" operator="equal" dxfId="4">
      <formula>"Moyenne"</formula>
    </cfRule>
    <cfRule type="cellIs" priority="8" operator="equal" dxfId="0">
      <formula>"Faible"</formula>
    </cfRule>
  </conditionalFormatting>
  <dataValidations count="5">
    <dataValidation sqref="B3:B73" showDropDown="0" showInputMessage="1" showErrorMessage="1" allowBlank="1" errorTitle="Erreur" error="Valeur non autorisée" promptTitle="" prompt="" type="list">
      <formula1>"Fonctionnel,Non-fonctionnel,Réglementaire,Technique,Sécurité"</formula1>
    </dataValidation>
    <dataValidation sqref="E3:E73" showDropDown="0" showInputMessage="1" showErrorMessage="1" allowBlank="1" errorTitle="Erreur" error="Valeur non autorisée" promptTitle="" prompt="" type="list">
      <formula1>"Critique,Haute,Moyenne,Faible"</formula1>
    </dataValidation>
    <dataValidation sqref="F3:F73" showDropDown="0" showInputMessage="1" showErrorMessage="1" allowBlank="1" errorTitle="Erreur" error="Valeur non autorisée" promptTitle="" prompt="" type="list">
      <formula1>"Client,MOA,MOE,Réglementaire,Interne"</formula1>
    </dataValidation>
    <dataValidation sqref="G3:G73" showDropDown="0" showInputMessage="1" showErrorMessage="1" allowBlank="1" errorTitle="Erreur" error="Valeur non autorisée" promptTitle="" prompt="" type="list">
      <formula1>"Définition,Conception,Réalisation,Tests,Recette,Déploiement"</formula1>
    </dataValidation>
    <dataValidation sqref="H3:H73" showDropDown="0" showInputMessage="1" showErrorMessage="1" allowBlank="1" errorTitle="Erreur" error="Valeur non autorisée" promptTitle="" prompt="" type="list">
      <formula1>"En attente,Validé,Gelé,Abandonné,En révision"</formula1>
    </dataValidation>
  </dataValidation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M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32" customWidth="1" min="4" max="4"/>
    <col width="65" customWidth="1" min="5" max="5"/>
    <col width="28" customWidth="1" min="6" max="6"/>
    <col width="12" customWidth="1" min="7" max="7"/>
    <col width="12" customWidth="1" min="8" max="8"/>
    <col width="18" customWidth="1" min="9" max="9"/>
    <col width="16" customWidth="1" min="10" max="10"/>
    <col width="14" customWidth="1" min="11" max="11"/>
    <col width="16" customWidth="1" min="12" max="12"/>
    <col width="38" customWidth="1" min="13" max="13"/>
  </cols>
  <sheetData>
    <row r="1" ht="28" customHeight="1">
      <c r="A1" s="7" t="inlineStr">
        <is>
          <t>REGISTRE DES SPÉCIFICATIONS TECHNIQUES — GRHADES (34 spécifications)</t>
        </is>
      </c>
    </row>
    <row r="2" ht="22" customHeight="1">
      <c r="A2" s="8" t="inlineStr">
        <is>
          <t>ID_SPEC</t>
        </is>
      </c>
      <c r="B2" s="8" t="inlineStr">
        <is>
          <t>ID_EXG lié</t>
        </is>
      </c>
      <c r="C2" s="8" t="inlineStr">
        <is>
          <t>Phase</t>
        </is>
      </c>
      <c r="D2" s="8" t="inlineStr">
        <is>
          <t>Titre</t>
        </is>
      </c>
      <c r="E2" s="8" t="inlineStr">
        <is>
          <t>Description technique détaillée</t>
        </is>
      </c>
      <c r="F2" s="8" t="inlineStr">
        <is>
          <t>Module Odoo/Python</t>
        </is>
      </c>
      <c r="G2" s="8" t="inlineStr">
        <is>
          <t>Priorité</t>
        </is>
      </c>
      <c r="H2" s="8" t="inlineStr">
        <is>
          <t>Statut</t>
        </is>
      </c>
      <c r="I2" s="8" t="inlineStr">
        <is>
          <t>Responsable</t>
        </is>
      </c>
      <c r="J2" s="8" t="inlineStr">
        <is>
          <t>Date livraison</t>
        </is>
      </c>
      <c r="K2" s="8" t="inlineStr">
        <is>
          <t>ID_SPEC parent</t>
        </is>
      </c>
      <c r="L2" s="8" t="inlineStr">
        <is>
          <t>ID_TEST lié</t>
        </is>
      </c>
      <c r="M2" s="8" t="inlineStr">
        <is>
          <t>Commentaires</t>
        </is>
      </c>
    </row>
    <row r="3">
      <c r="A3" s="4" t="inlineStr">
        <is>
          <t>SPEC-001</t>
        </is>
      </c>
      <c r="B3" s="4" t="inlineStr">
        <is>
          <t>EXG-001</t>
        </is>
      </c>
      <c r="C3" s="4" t="inlineStr">
        <is>
          <t>Conception</t>
        </is>
      </c>
      <c r="D3" s="4" t="inlineStr">
        <is>
          <t>Fiche produit — Variantes et galerie images</t>
        </is>
      </c>
      <c r="E3" s="4" t="inlineStr">
        <is>
          <t>Utilisation du module Odoo eCommerce natif pour les variantes (product.template + product.product). Le module grhades_product_display surcharge le template website.product_detail pour ajouter : sélecteur de variantes dynamique (OWL), galerie lightbox, badge 'Nouveau' (champ is_new calculé si date création &lt; 30 jours).</t>
        </is>
      </c>
      <c r="F3" s="4" t="inlineStr">
        <is>
          <t>Odoo eCommerce + OWL + Python</t>
        </is>
      </c>
      <c r="G3" s="4" t="inlineStr">
        <is>
          <t>Critique</t>
        </is>
      </c>
      <c r="H3" s="4" t="inlineStr">
        <is>
          <t>Validé</t>
        </is>
      </c>
      <c r="I3" s="4" t="inlineStr">
        <is>
          <t>M. Amine (Dev)</t>
        </is>
      </c>
      <c r="J3" s="4" t="inlineStr">
        <is>
          <t>10/03/2026</t>
        </is>
      </c>
      <c r="K3" s="4" t="inlineStr"/>
      <c r="L3" s="4" t="inlineStr">
        <is>
          <t>TST-001</t>
        </is>
      </c>
      <c r="M3" s="4" t="inlineStr">
        <is>
          <t>Surcharge XML templates Odoo — attention aux mises à jour Odoo</t>
        </is>
      </c>
    </row>
    <row r="4">
      <c r="A4" s="5" t="inlineStr">
        <is>
          <t>SPEC-002</t>
        </is>
      </c>
      <c r="B4" s="5" t="inlineStr">
        <is>
          <t>EXG-001</t>
        </is>
      </c>
      <c r="C4" s="5" t="inlineStr">
        <is>
          <t>Conception</t>
        </is>
      </c>
      <c r="D4" s="5" t="inlineStr">
        <is>
          <t>Fiche produit — Avis clients et note moyenne</t>
        </is>
      </c>
      <c r="E4" s="5" t="inlineStr">
        <is>
          <t>Affichage de la note moyenne (moyenne des product.review validés) et des derniers avis sous la description produit. Widget étoiles développé en OWL. Si aucun avis : message 'Soyez le premier à donner votre avis'.</t>
        </is>
      </c>
      <c r="F4" s="5" t="inlineStr">
        <is>
          <t>Odoo eCommerce + OWL + Python</t>
        </is>
      </c>
      <c r="G4" s="5" t="inlineStr">
        <is>
          <t>Haute</t>
        </is>
      </c>
      <c r="H4" s="5" t="inlineStr">
        <is>
          <t>Validé</t>
        </is>
      </c>
      <c r="I4" s="5" t="inlineStr">
        <is>
          <t>M. Amine (Dev)</t>
        </is>
      </c>
      <c r="J4" s="5" t="inlineStr">
        <is>
          <t>10/03/2026</t>
        </is>
      </c>
      <c r="K4" s="5" t="inlineStr"/>
      <c r="L4" s="5" t="inlineStr">
        <is>
          <t>TST-002</t>
        </is>
      </c>
      <c r="M4" s="5" t="inlineStr">
        <is>
          <t>Dépend de SPEC-029 (module grhades_product_review)</t>
        </is>
      </c>
    </row>
    <row r="5">
      <c r="A5" s="4" t="inlineStr">
        <is>
          <t>SPEC-003</t>
        </is>
      </c>
      <c r="B5" s="4" t="inlineStr">
        <is>
          <t>EXG-002</t>
        </is>
      </c>
      <c r="C5" s="4" t="inlineStr">
        <is>
          <t>Conception</t>
        </is>
      </c>
      <c r="D5" s="4" t="inlineStr">
        <is>
          <t>Panier — Ajout article et persistance</t>
        </is>
      </c>
      <c r="E5" s="4" t="inlineStr">
        <is>
          <t>Utilisation du mécanisme natif Odoo sale.order (état draft = panier). Surcharge du controller website_sale pour ajouter : vérification stock temps réel avant ajout (appel stock.quant), message d'avertissement si stock &lt; 3 unités.</t>
        </is>
      </c>
      <c r="F5" s="4" t="inlineStr">
        <is>
          <t>Odoo eCommerce + Python controller</t>
        </is>
      </c>
      <c r="G5" s="4" t="inlineStr">
        <is>
          <t>Critique</t>
        </is>
      </c>
      <c r="H5" s="4" t="inlineStr">
        <is>
          <t>Validé</t>
        </is>
      </c>
      <c r="I5" s="4" t="inlineStr">
        <is>
          <t>M. Amine (Dev)</t>
        </is>
      </c>
      <c r="J5" s="4" t="inlineStr">
        <is>
          <t>12/03/2026</t>
        </is>
      </c>
      <c r="K5" s="4" t="inlineStr"/>
      <c r="L5" s="4" t="inlineStr">
        <is>
          <t>TST-003</t>
        </is>
      </c>
      <c r="M5" s="4" t="inlineStr">
        <is>
          <t>Controller Python : /shop/cart/update surcharge</t>
        </is>
      </c>
    </row>
    <row r="6">
      <c r="A6" s="5" t="inlineStr">
        <is>
          <t>SPEC-004</t>
        </is>
      </c>
      <c r="B6" s="5" t="inlineStr">
        <is>
          <t>EXG-002</t>
        </is>
      </c>
      <c r="C6" s="5" t="inlineStr">
        <is>
          <t>Conception</t>
        </is>
      </c>
      <c r="D6" s="5" t="inlineStr">
        <is>
          <t>Panier — Récapitulatif et frais de port</t>
        </is>
      </c>
      <c r="E6" s="5" t="inlineStr">
        <is>
          <t>Affichage du récapitulatif panier avec calcul automatique des frais de port selon le module Odoo Delivery (delivery.carrier). Frais de port offerts au-delà de 50€ (règle configurable dans l'interface Odoo).</t>
        </is>
      </c>
      <c r="F6" s="5" t="inlineStr">
        <is>
          <t>Odoo eCommerce + Delivery</t>
        </is>
      </c>
      <c r="G6" s="5" t="inlineStr">
        <is>
          <t>Haute</t>
        </is>
      </c>
      <c r="H6" s="5" t="inlineStr">
        <is>
          <t>Validé</t>
        </is>
      </c>
      <c r="I6" s="5" t="inlineStr">
        <is>
          <t>M. Amine (Dev)</t>
        </is>
      </c>
      <c r="J6" s="5" t="inlineStr">
        <is>
          <t>12/03/2026</t>
        </is>
      </c>
      <c r="K6" s="5" t="inlineStr"/>
      <c r="L6" s="5" t="inlineStr"/>
      <c r="M6" s="5" t="inlineStr">
        <is>
          <t>Paramètre seuil port offert : ir.config_parameter</t>
        </is>
      </c>
    </row>
    <row r="7">
      <c r="A7" s="4" t="inlineStr">
        <is>
          <t>SPEC-005</t>
        </is>
      </c>
      <c r="B7" s="4" t="inlineStr">
        <is>
          <t>EXG-003</t>
        </is>
      </c>
      <c r="C7" s="4" t="inlineStr">
        <is>
          <t>Conception</t>
        </is>
      </c>
      <c r="D7" s="4" t="inlineStr">
        <is>
          <t>Paiement — Module Odoo custom Stripe</t>
        </is>
      </c>
      <c r="E7" s="4" t="inlineStr">
        <is>
          <t>Développement du module grhades_payment_stripe héritant de payment.provider Odoo. Intégration Stripe Payment Element (hosted fields). Gestion webhook Stripe (payment_intent.succeeded, payment_intent.failed) via controller Python /payment/stripe/webhook.</t>
        </is>
      </c>
      <c r="F7" s="4" t="inlineStr">
        <is>
          <t>Python Odoo + Stripe API</t>
        </is>
      </c>
      <c r="G7" s="4" t="inlineStr">
        <is>
          <t>Critique</t>
        </is>
      </c>
      <c r="H7" s="4" t="inlineStr">
        <is>
          <t>Validé</t>
        </is>
      </c>
      <c r="I7" s="4" t="inlineStr">
        <is>
          <t>M. Yassine (Tech)</t>
        </is>
      </c>
      <c r="J7" s="4" t="inlineStr">
        <is>
          <t>15/03/2026</t>
        </is>
      </c>
      <c r="K7" s="4" t="inlineStr"/>
      <c r="L7" s="4" t="inlineStr">
        <is>
          <t>TST-004</t>
        </is>
      </c>
      <c r="M7" s="4" t="inlineStr">
        <is>
          <t>Clés API Stripe dans ir.config_parameter (chiffrées)</t>
        </is>
      </c>
    </row>
    <row r="8">
      <c r="A8" s="5" t="inlineStr">
        <is>
          <t>SPEC-006</t>
        </is>
      </c>
      <c r="B8" s="5" t="inlineStr">
        <is>
          <t>EXG-004</t>
        </is>
      </c>
      <c r="C8" s="5" t="inlineStr">
        <is>
          <t>Conception</t>
        </is>
      </c>
      <c r="D8" s="5" t="inlineStr">
        <is>
          <t>Espace client — Portail Odoo étendu</t>
        </is>
      </c>
      <c r="E8" s="5" t="inlineStr">
        <is>
          <t>Extension du portail Odoo standard (portal.mixin) via le module grhades_customer_portal. Ajout des pages : /my/loyalty (points fidélité + historique), /my/reviews (avis déposés), /my/returns (demandes de retour). Navigation par onglets.</t>
        </is>
      </c>
      <c r="F8" s="5" t="inlineStr">
        <is>
          <t>Odoo Portal + Python</t>
        </is>
      </c>
      <c r="G8" s="5" t="inlineStr">
        <is>
          <t>Haute</t>
        </is>
      </c>
      <c r="H8" s="5" t="inlineStr">
        <is>
          <t>Validé</t>
        </is>
      </c>
      <c r="I8" s="5" t="inlineStr">
        <is>
          <t>M. Amine (Dev)</t>
        </is>
      </c>
      <c r="J8" s="5" t="inlineStr">
        <is>
          <t>18/03/2026</t>
        </is>
      </c>
      <c r="K8" s="5" t="inlineStr"/>
      <c r="L8" s="5" t="inlineStr">
        <is>
          <t>TST-005</t>
        </is>
      </c>
      <c r="M8" s="5" t="inlineStr">
        <is>
          <t>Héritage des templates portal.html Odoo</t>
        </is>
      </c>
    </row>
    <row r="9">
      <c r="A9" s="4" t="inlineStr">
        <is>
          <t>SPEC-007</t>
        </is>
      </c>
      <c r="B9" s="4" t="inlineStr">
        <is>
          <t>EXG-005</t>
        </is>
      </c>
      <c r="C9" s="4" t="inlineStr">
        <is>
          <t>Conception</t>
        </is>
      </c>
      <c r="D9" s="4" t="inlineStr">
        <is>
          <t>Stock — Affichage disponibilité temps réel</t>
        </is>
      </c>
      <c r="E9" s="4" t="inlineStr">
        <is>
          <t>Module grhades_stock_website : computed field qty_website_available sur product.product (= qty_on_hand - qty_reserved). Seuil d'affichage configurable : &gt; 5 = 'En stock', 1-5 = 'Stock limité' (badge orange), 0 = 'Rupture' (grisé). Mise à jour toutes les 5 min (cron Odoo).</t>
        </is>
      </c>
      <c r="F9" s="4" t="inlineStr">
        <is>
          <t>Python Odoo ORM + Computed fields</t>
        </is>
      </c>
      <c r="G9" s="4" t="inlineStr">
        <is>
          <t>Critique</t>
        </is>
      </c>
      <c r="H9" s="4" t="inlineStr">
        <is>
          <t>Validé</t>
        </is>
      </c>
      <c r="I9" s="4" t="inlineStr">
        <is>
          <t>M. Yassine (Tech)</t>
        </is>
      </c>
      <c r="J9" s="4" t="inlineStr">
        <is>
          <t>20/03/2026</t>
        </is>
      </c>
      <c r="K9" s="4" t="inlineStr"/>
      <c r="L9" s="4" t="inlineStr">
        <is>
          <t>TST-006</t>
        </is>
      </c>
      <c r="M9" s="4" t="inlineStr">
        <is>
          <t>Cron : ir.cron toutes les 5 min</t>
        </is>
      </c>
    </row>
    <row r="10">
      <c r="A10" s="5" t="inlineStr">
        <is>
          <t>SPEC-008</t>
        </is>
      </c>
      <c r="B10" s="5" t="inlineStr">
        <is>
          <t>EXG-006</t>
        </is>
      </c>
      <c r="C10" s="5" t="inlineStr">
        <is>
          <t>Conception</t>
        </is>
      </c>
      <c r="D10" s="5" t="inlineStr">
        <is>
          <t>Stock — Automatisation bon de livraison</t>
        </is>
      </c>
      <c r="E10" s="5" t="inlineStr">
        <is>
          <t>Post-hook Python sur sale.order.action_confirm() : création automatique du stock.picking de type outgoing. Règle de réservation configurée sur l'entrepôt GRHADES (reservation = immédiate si stock disponible). Notification email picking créé au responsable entrepôt.</t>
        </is>
      </c>
      <c r="F10" s="5" t="inlineStr">
        <is>
          <t>Python Odoo ORM + Stock</t>
        </is>
      </c>
      <c r="G10" s="5" t="inlineStr">
        <is>
          <t>Critique</t>
        </is>
      </c>
      <c r="H10" s="5" t="inlineStr">
        <is>
          <t>Validé</t>
        </is>
      </c>
      <c r="I10" s="5" t="inlineStr">
        <is>
          <t>M. Yassine (Tech)</t>
        </is>
      </c>
      <c r="J10" s="5" t="inlineStr">
        <is>
          <t>20/03/2026</t>
        </is>
      </c>
      <c r="K10" s="5" t="inlineStr"/>
      <c r="L10" s="5" t="inlineStr">
        <is>
          <t>TST-007</t>
        </is>
      </c>
      <c r="M10" s="5" t="inlineStr">
        <is>
          <t>Override méthode action_confirm dans module grhades_sale_custom</t>
        </is>
      </c>
    </row>
    <row r="11">
      <c r="A11" s="4" t="inlineStr">
        <is>
          <t>SPEC-009</t>
        </is>
      </c>
      <c r="B11" s="4" t="inlineStr">
        <is>
          <t>EXG-007</t>
        </is>
      </c>
      <c r="C11" s="4" t="inlineStr">
        <is>
          <t>Conception</t>
        </is>
      </c>
      <c r="D11" s="4" t="inlineStr">
        <is>
          <t>Comptabilité — Génération facture automatique</t>
        </is>
      </c>
      <c r="E11" s="4" t="inlineStr">
        <is>
          <t>Post-hook Python sur sale.order.action_confirm() : appel de _create_invoices() Odoo pour générer account.move (type out_invoice). Validation automatique (action_post()) et envoi email PDF via mail.template 'Votre facture GRHADES'.</t>
        </is>
      </c>
      <c r="F11" s="4" t="inlineStr">
        <is>
          <t>Python Odoo ORM + Account</t>
        </is>
      </c>
      <c r="G11" s="4" t="inlineStr">
        <is>
          <t>Critique</t>
        </is>
      </c>
      <c r="H11" s="4" t="inlineStr">
        <is>
          <t>Validé</t>
        </is>
      </c>
      <c r="I11" s="4" t="inlineStr">
        <is>
          <t>Mme. Sara (MOA)</t>
        </is>
      </c>
      <c r="J11" s="4" t="inlineStr">
        <is>
          <t>22/03/2026</t>
        </is>
      </c>
      <c r="K11" s="4" t="inlineStr"/>
      <c r="L11" s="4" t="inlineStr">
        <is>
          <t>TST-008</t>
        </is>
      </c>
      <c r="M11" s="4" t="inlineStr">
        <is>
          <t>Journal ventes configuré dans Odoo Comptabilité</t>
        </is>
      </c>
    </row>
    <row r="12">
      <c r="A12" s="5" t="inlineStr">
        <is>
          <t>SPEC-010</t>
        </is>
      </c>
      <c r="B12" s="5" t="inlineStr">
        <is>
          <t>EXG-008</t>
        </is>
      </c>
      <c r="C12" s="5" t="inlineStr">
        <is>
          <t>Conception</t>
        </is>
      </c>
      <c r="D12" s="5" t="inlineStr">
        <is>
          <t>Emails — Templates transactionnels custom</t>
        </is>
      </c>
      <c r="E12" s="5" t="inlineStr">
        <is>
          <t>Création de 5 mail.template Odoo dans le module grhades_mail_templates : (1) Confirmation commande avec récapitulatif articles, (2) Expédition avec numéro tracking, (3) Facture PDF en pièce jointe, (4) Confirmation retour accepté, (5) Remboursement effectué.</t>
        </is>
      </c>
      <c r="F12" s="5" t="inlineStr">
        <is>
          <t>Odoo Mail + QWeb templates</t>
        </is>
      </c>
      <c r="G12" s="5" t="inlineStr">
        <is>
          <t>Haute</t>
        </is>
      </c>
      <c r="H12" s="5" t="inlineStr">
        <is>
          <t>Validé</t>
        </is>
      </c>
      <c r="I12" s="5" t="inlineStr">
        <is>
          <t>M. Amine (Dev)</t>
        </is>
      </c>
      <c r="J12" s="5" t="inlineStr">
        <is>
          <t>25/03/2026</t>
        </is>
      </c>
      <c r="K12" s="5" t="inlineStr"/>
      <c r="L12" s="5" t="inlineStr">
        <is>
          <t>TST-009</t>
        </is>
      </c>
      <c r="M12" s="5" t="inlineStr">
        <is>
          <t>Templates QWeb HTML responsive — test sur Litmus</t>
        </is>
      </c>
    </row>
    <row r="13">
      <c r="A13" s="4" t="inlineStr">
        <is>
          <t>SPEC-011</t>
        </is>
      </c>
      <c r="B13" s="4" t="inlineStr">
        <is>
          <t>EXG-009</t>
        </is>
      </c>
      <c r="C13" s="4" t="inlineStr">
        <is>
          <t>Conception</t>
        </is>
      </c>
      <c r="D13" s="4" t="inlineStr">
        <is>
          <t>Retours — Workflow complet Odoo</t>
        </is>
      </c>
      <c r="E13" s="4" t="inlineStr">
        <is>
          <t>Module grhades_returns : formulaire /my/return/new (sélection articles, motif, photo). Création stock.return.picking + account.move.reversal (avoir). Si paiement Stripe : appel Stripe Refund API depuis Python. Statuts : Demandé → Approuvé → Réceptionné → Remboursé.</t>
        </is>
      </c>
      <c r="F13" s="4" t="inlineStr">
        <is>
          <t>Python Odoo + Stripe Refund</t>
        </is>
      </c>
      <c r="G13" s="4" t="inlineStr">
        <is>
          <t>Haute</t>
        </is>
      </c>
      <c r="H13" s="4" t="inlineStr">
        <is>
          <t>Validé</t>
        </is>
      </c>
      <c r="I13" s="4" t="inlineStr">
        <is>
          <t>M. Yassine (Tech)</t>
        </is>
      </c>
      <c r="J13" s="4" t="inlineStr">
        <is>
          <t>28/03/2026</t>
        </is>
      </c>
      <c r="K13" s="4" t="inlineStr"/>
      <c r="L13" s="4" t="inlineStr">
        <is>
          <t>TST-010</t>
        </is>
      </c>
      <c r="M13" s="4" t="inlineStr">
        <is>
          <t>Délai remboursement : 5-10 jours ouvrés (Stripe)</t>
        </is>
      </c>
    </row>
    <row r="14">
      <c r="A14" s="5" t="inlineStr">
        <is>
          <t>SPEC-012</t>
        </is>
      </c>
      <c r="B14" s="5" t="inlineStr">
        <is>
          <t>EXG-010</t>
        </is>
      </c>
      <c r="C14" s="5" t="inlineStr">
        <is>
          <t>Conception</t>
        </is>
      </c>
      <c r="D14" s="5" t="inlineStr">
        <is>
          <t>Recherche — Amélioration moteur Odoo</t>
        </is>
      </c>
      <c r="E14" s="5" t="inlineStr">
        <is>
          <t>Extension du module Odoo eCommerce search : ajout filtres de prix (range slider OWL), filtre disponibilité (stock &gt; 0), filtre marque (attribut product.attribute). Tri par : pertinence (défaut), prix croissant/décroissant, nouveautés, meilleures ventes (champ sales_count).</t>
        </is>
      </c>
      <c r="F14" s="5" t="inlineStr">
        <is>
          <t>Odoo eCommerce + OWL + Python</t>
        </is>
      </c>
      <c r="G14" s="5" t="inlineStr">
        <is>
          <t>Haute</t>
        </is>
      </c>
      <c r="H14" s="5" t="inlineStr">
        <is>
          <t>Validé</t>
        </is>
      </c>
      <c r="I14" s="5" t="inlineStr">
        <is>
          <t>M. Amine (Dev)</t>
        </is>
      </c>
      <c r="J14" s="5" t="inlineStr">
        <is>
          <t>01/04/2026</t>
        </is>
      </c>
      <c r="K14" s="5" t="inlineStr"/>
      <c r="L14" s="5" t="inlineStr">
        <is>
          <t>TST-011</t>
        </is>
      </c>
      <c r="M14" s="5" t="inlineStr">
        <is>
          <t>sales_count : computed field sur product.template</t>
        </is>
      </c>
    </row>
    <row r="15">
      <c r="A15" s="4" t="inlineStr">
        <is>
          <t>SPEC-013</t>
        </is>
      </c>
      <c r="B15" s="4" t="inlineStr">
        <is>
          <t>EXG-011</t>
        </is>
      </c>
      <c r="C15" s="4" t="inlineStr">
        <is>
          <t>Conception</t>
        </is>
      </c>
      <c r="D15" s="4" t="inlineStr">
        <is>
          <t>Fidélité — Configuration module Odoo Loyalty</t>
        </is>
      </c>
      <c r="E15" s="4" t="inlineStr">
        <is>
          <t>Configuration du module Odoo Loyalty : programme 'GRHADES Rewards' (1€ = 1 point, 100 points = bon 5€). Extension grhades_loyalty_custom : affichage points dans le header (widget OWL), notification email à chaque gain de points, alerte solde suffisant pour bon.</t>
        </is>
      </c>
      <c r="F15" s="4" t="inlineStr">
        <is>
          <t>Odoo Loyalty + OWL + Python</t>
        </is>
      </c>
      <c r="G15" s="4" t="inlineStr">
        <is>
          <t>Moyenne</t>
        </is>
      </c>
      <c r="H15" s="4" t="inlineStr">
        <is>
          <t>Validé</t>
        </is>
      </c>
      <c r="I15" s="4" t="inlineStr">
        <is>
          <t>M. Karim (MOA)</t>
        </is>
      </c>
      <c r="J15" s="4" t="inlineStr">
        <is>
          <t>05/04/2026</t>
        </is>
      </c>
      <c r="K15" s="4" t="inlineStr"/>
      <c r="L15" s="4" t="inlineStr">
        <is>
          <t>TST-012</t>
        </is>
      </c>
      <c r="M15" s="4" t="inlineStr">
        <is>
          <t>Points calculés sur account.move posted</t>
        </is>
      </c>
    </row>
    <row r="16">
      <c r="A16" s="5" t="inlineStr">
        <is>
          <t>SPEC-014</t>
        </is>
      </c>
      <c r="B16" s="5" t="inlineStr">
        <is>
          <t>EXG-012</t>
        </is>
      </c>
      <c r="C16" s="5" t="inlineStr">
        <is>
          <t>Conception</t>
        </is>
      </c>
      <c r="D16" s="5" t="inlineStr">
        <is>
          <t>Avis produits — Modèle et interface</t>
        </is>
      </c>
      <c r="E16" s="5" t="inlineStr">
        <is>
          <t>Développement modèle product.review (module grhades_product_review) : champs product_id, partner_id, rating (1-5), title, body, state (pending/published/rejected), date. Interface modération Odoo back-office (tree + form views). Contrainte : 1 avis par client par produit commandé.</t>
        </is>
      </c>
      <c r="F16" s="5" t="inlineStr">
        <is>
          <t>Python Odoo ORM + Views</t>
        </is>
      </c>
      <c r="G16" s="5" t="inlineStr">
        <is>
          <t>Moyenne</t>
        </is>
      </c>
      <c r="H16" s="5" t="inlineStr">
        <is>
          <t>Validé</t>
        </is>
      </c>
      <c r="I16" s="5" t="inlineStr">
        <is>
          <t>M. Amine (Dev)</t>
        </is>
      </c>
      <c r="J16" s="5" t="inlineStr">
        <is>
          <t>08/04/2026</t>
        </is>
      </c>
      <c r="K16" s="5" t="inlineStr"/>
      <c r="L16" s="5" t="inlineStr">
        <is>
          <t>TST-013</t>
        </is>
      </c>
      <c r="M16" s="5" t="inlineStr">
        <is>
          <t>Vérification commande : SQL check sur sale.order.line</t>
        </is>
      </c>
    </row>
    <row r="17">
      <c r="A17" s="4" t="inlineStr">
        <is>
          <t>SPEC-015</t>
        </is>
      </c>
      <c r="B17" s="4" t="inlineStr">
        <is>
          <t>EXG-013</t>
        </is>
      </c>
      <c r="C17" s="4" t="inlineStr">
        <is>
          <t>Conception</t>
        </is>
      </c>
      <c r="D17" s="4" t="inlineStr">
        <is>
          <t>Coupons — Extension règles de cumul</t>
        </is>
      </c>
      <c r="E17" s="4" t="inlineStr">
        <is>
          <t>Module grhades_coupon_custom : extension coupon.rule pour ajouter champ cumul_with_loyalty (booléen). Override de _check_promo_applicability pour gérer le cumul code promo + points fidélité. Plafonnement remise totale à 30% du panier configurable.</t>
        </is>
      </c>
      <c r="F17" s="4" t="inlineStr">
        <is>
          <t>Python Odoo ORM + Coupon</t>
        </is>
      </c>
      <c r="G17" s="4" t="inlineStr">
        <is>
          <t>Haute</t>
        </is>
      </c>
      <c r="H17" s="4" t="inlineStr">
        <is>
          <t>Validé</t>
        </is>
      </c>
      <c r="I17" s="4" t="inlineStr">
        <is>
          <t>M. Karim (MOA)</t>
        </is>
      </c>
      <c r="J17" s="4" t="inlineStr">
        <is>
          <t>10/04/2026</t>
        </is>
      </c>
      <c r="K17" s="4" t="inlineStr"/>
      <c r="L17" s="4" t="inlineStr">
        <is>
          <t>TST-014</t>
        </is>
      </c>
      <c r="M17" s="4" t="inlineStr">
        <is>
          <t>Dépend de SPEC-013 (fidélité)</t>
        </is>
      </c>
    </row>
    <row r="18">
      <c r="A18" s="5" t="inlineStr">
        <is>
          <t>SPEC-016</t>
        </is>
      </c>
      <c r="B18" s="5" t="inlineStr">
        <is>
          <t>EXG-014</t>
        </is>
      </c>
      <c r="C18" s="5" t="inlineStr">
        <is>
          <t>Conception</t>
        </is>
      </c>
      <c r="D18" s="5" t="inlineStr">
        <is>
          <t>Livraison — Tracking dans l'espace client</t>
        </is>
      </c>
      <c r="E18" s="5" t="inlineStr">
        <is>
          <t>Module grhades_delivery_tracking : champ tracking_url computed sur stock.picking générant l'URL de suivi (Colissimo, Chronopost selon delivery.carrier). Affichage dans /my/orders avec statut visuel (timeline OWL). Email automatique à chaque changement de statut.</t>
        </is>
      </c>
      <c r="F18" s="5" t="inlineStr">
        <is>
          <t>Python Odoo + OWL</t>
        </is>
      </c>
      <c r="G18" s="5" t="inlineStr">
        <is>
          <t>Haute</t>
        </is>
      </c>
      <c r="H18" s="5" t="inlineStr">
        <is>
          <t>Validé</t>
        </is>
      </c>
      <c r="I18" s="5" t="inlineStr">
        <is>
          <t>M. Amine (Dev)</t>
        </is>
      </c>
      <c r="J18" s="5" t="inlineStr">
        <is>
          <t>12/04/2026</t>
        </is>
      </c>
      <c r="K18" s="5" t="inlineStr"/>
      <c r="L18" s="5" t="inlineStr">
        <is>
          <t>TST-015</t>
        </is>
      </c>
      <c r="M18" s="5" t="inlineStr">
        <is>
          <t>API Colissimo : module séparé sprint 4</t>
        </is>
      </c>
    </row>
    <row r="19">
      <c r="A19" s="4" t="inlineStr">
        <is>
          <t>SPEC-017</t>
        </is>
      </c>
      <c r="B19" s="4" t="inlineStr">
        <is>
          <t>EXG-015</t>
        </is>
      </c>
      <c r="C19" s="4" t="inlineStr">
        <is>
          <t>Conception</t>
        </is>
      </c>
      <c r="D19" s="4" t="inlineStr">
        <is>
          <t>CRM — Capture leads depuis site web</t>
        </is>
      </c>
      <c r="E19" s="4" t="inlineStr">
        <is>
          <t>Module grhades_crm_website : surcharge du formulaire de contact Odoo website_crm pour ajouter les champs : catégorie produit d'intérêt, budget estimé, canal d'acquisition (utm_source). Règle d'assignation CRM : par catégorie produit → commercial référent.</t>
        </is>
      </c>
      <c r="F19" s="4" t="inlineStr">
        <is>
          <t>Python Odoo + CRM</t>
        </is>
      </c>
      <c r="G19" s="4" t="inlineStr">
        <is>
          <t>Haute</t>
        </is>
      </c>
      <c r="H19" s="4" t="inlineStr">
        <is>
          <t>Validé</t>
        </is>
      </c>
      <c r="I19" s="4" t="inlineStr">
        <is>
          <t>M. Amine (Dev)</t>
        </is>
      </c>
      <c r="J19" s="4" t="inlineStr">
        <is>
          <t>15/04/2026</t>
        </is>
      </c>
      <c r="K19" s="4" t="inlineStr"/>
      <c r="L19" s="4" t="inlineStr">
        <is>
          <t>TST-016</t>
        </is>
      </c>
      <c r="M19" s="4" t="inlineStr">
        <is>
          <t>UTM tracking : module Odoo utm natif</t>
        </is>
      </c>
    </row>
    <row r="20">
      <c r="A20" s="5" t="inlineStr">
        <is>
          <t>SPEC-018</t>
        </is>
      </c>
      <c r="B20" s="5" t="inlineStr">
        <is>
          <t>EXG-016</t>
        </is>
      </c>
      <c r="C20" s="5" t="inlineStr">
        <is>
          <t>Conception</t>
        </is>
      </c>
      <c r="D20" s="5" t="inlineStr">
        <is>
          <t>Marketing — Segments emailing Odoo</t>
        </is>
      </c>
      <c r="E20" s="5" t="inlineStr">
        <is>
          <t>Configuration des segments Odoo Mass Mailing dans le module grhades_marketing_custom : Segment A (clients sans commande +60j, critère : sale.order last date), Segment B (inscrits newsletter sans achat), Segment C (clients top 20% CA). Métriques : taux ouverture, clics, désinscriptions.</t>
        </is>
      </c>
      <c r="F20" s="5" t="inlineStr">
        <is>
          <t>Odoo Mass Mailing + Python domain</t>
        </is>
      </c>
      <c r="G20" s="5" t="inlineStr">
        <is>
          <t>Moyenne</t>
        </is>
      </c>
      <c r="H20" s="5" t="inlineStr">
        <is>
          <t>Validé</t>
        </is>
      </c>
      <c r="I20" s="5" t="inlineStr">
        <is>
          <t>Mme. Sara (MOA)</t>
        </is>
      </c>
      <c r="J20" s="5" t="inlineStr">
        <is>
          <t>18/04/2026</t>
        </is>
      </c>
      <c r="K20" s="5" t="inlineStr"/>
      <c r="L20" s="5" t="inlineStr">
        <is>
          <t>TST-017</t>
        </is>
      </c>
      <c r="M20" s="5" t="inlineStr">
        <is>
          <t>Segments recalculés chaque lundi 06h (cron Odoo)</t>
        </is>
      </c>
    </row>
    <row r="21">
      <c r="A21" s="4" t="inlineStr">
        <is>
          <t>SPEC-019</t>
        </is>
      </c>
      <c r="B21" s="4" t="inlineStr">
        <is>
          <t>EXG-017</t>
        </is>
      </c>
      <c r="C21" s="4" t="inlineStr">
        <is>
          <t>Conception</t>
        </is>
      </c>
      <c r="D21" s="4" t="inlineStr">
        <is>
          <t>Paniers abandonnés — Détection et relance</t>
        </is>
      </c>
      <c r="E21" s="4" t="inlineStr">
        <is>
          <t>Module grhades_abandoned_cart : cron Odoo (toutes les heures) sélectionnant les sale.order (state=draft, write_date &lt; now-2h, partner_id != False). Séquence marketing.automation : email J0+2h (rappel panier), email J+1 (urgence stock), email J+3 (code promo -10%). Stop si commande validée.</t>
        </is>
      </c>
      <c r="F21" s="4" t="inlineStr">
        <is>
          <t>Python Odoo + Marketing Automation</t>
        </is>
      </c>
      <c r="G21" s="4" t="inlineStr">
        <is>
          <t>Haute</t>
        </is>
      </c>
      <c r="H21" s="4" t="inlineStr">
        <is>
          <t>Validé</t>
        </is>
      </c>
      <c r="I21" s="4" t="inlineStr">
        <is>
          <t>M. Amine (Dev)</t>
        </is>
      </c>
      <c r="J21" s="4" t="inlineStr">
        <is>
          <t>20/04/2026</t>
        </is>
      </c>
      <c r="K21" s="4" t="inlineStr"/>
      <c r="L21" s="4" t="inlineStr">
        <is>
          <t>TST-018</t>
        </is>
      </c>
      <c r="M21" s="4" t="inlineStr">
        <is>
          <t>Taux récupération cible : 5-8%</t>
        </is>
      </c>
    </row>
    <row r="22">
      <c r="A22" s="5" t="inlineStr">
        <is>
          <t>SPEC-020</t>
        </is>
      </c>
      <c r="B22" s="5" t="inlineStr">
        <is>
          <t>EXG-018</t>
        </is>
      </c>
      <c r="C22" s="5" t="inlineStr">
        <is>
          <t>Conception</t>
        </is>
      </c>
      <c r="D22" s="5" t="inlineStr">
        <is>
          <t>Dashboard — KPIs e-commerce Odoo</t>
        </is>
      </c>
      <c r="E22" s="5" t="inlineStr">
        <is>
          <t>Module grhades_dashboard : modèle grhades.kpi.dashboard (TransientModel) avec computed fields Python : ca_jour (SUM account.move), nb_commandes_jour (COUNT sale.order), panier_moyen, taux_retour (COUNT returns/COUNT orders). Vue Odoo dashboard avec graphes Chart.js natif.</t>
        </is>
      </c>
      <c r="F22" s="5" t="inlineStr">
        <is>
          <t>Python Odoo ORM + Dashboard views</t>
        </is>
      </c>
      <c r="G22" s="5" t="inlineStr">
        <is>
          <t>Moyenne</t>
        </is>
      </c>
      <c r="H22" s="5" t="inlineStr">
        <is>
          <t>Validé</t>
        </is>
      </c>
      <c r="I22" s="5" t="inlineStr">
        <is>
          <t>Mme. Sara (MOA)</t>
        </is>
      </c>
      <c r="J22" s="5" t="inlineStr">
        <is>
          <t>22/04/2026</t>
        </is>
      </c>
      <c r="K22" s="5" t="inlineStr"/>
      <c r="L22" s="5" t="inlineStr">
        <is>
          <t>TST-019</t>
        </is>
      </c>
      <c r="M22" s="5" t="inlineStr">
        <is>
          <t>Actualisation toutes les heures (cron)</t>
        </is>
      </c>
    </row>
    <row r="23">
      <c r="A23" s="4" t="inlineStr">
        <is>
          <t>SPEC-021</t>
        </is>
      </c>
      <c r="B23" s="4" t="inlineStr">
        <is>
          <t>EXG-019</t>
        </is>
      </c>
      <c r="C23" s="4" t="inlineStr">
        <is>
          <t>Conception</t>
        </is>
      </c>
      <c r="D23" s="4" t="inlineStr">
        <is>
          <t>Performance — Cache et optimisation assets</t>
        </is>
      </c>
      <c r="E23" s="4" t="inlineStr">
        <is>
          <t>Configuration Odoo : activation du cache navigateur (max-age 1 semaine pour assets statiques), compression Gzip Nginx, lazy loading images (attribut loading=lazy dans templates QWeb), pagination catalogue (24 produits). Minification JS/CSS Odoo assets bundles.</t>
        </is>
      </c>
      <c r="F23" s="4" t="inlineStr">
        <is>
          <t>Odoo Config + Nginx + QWeb</t>
        </is>
      </c>
      <c r="G23" s="4" t="inlineStr">
        <is>
          <t>Critique</t>
        </is>
      </c>
      <c r="H23" s="4" t="inlineStr">
        <is>
          <t>Validé</t>
        </is>
      </c>
      <c r="I23" s="4" t="inlineStr">
        <is>
          <t>M. Yassine (Tech)</t>
        </is>
      </c>
      <c r="J23" s="4" t="inlineStr">
        <is>
          <t>25/04/2026</t>
        </is>
      </c>
      <c r="K23" s="4" t="inlineStr"/>
      <c r="L23" s="4" t="inlineStr">
        <is>
          <t>TST-020</t>
        </is>
      </c>
      <c r="M23" s="4" t="inlineStr">
        <is>
          <t>Objectif TTFB &lt; 400ms — benchmark Lighthouse</t>
        </is>
      </c>
    </row>
    <row r="24">
      <c r="A24" s="5" t="inlineStr">
        <is>
          <t>SPEC-022</t>
        </is>
      </c>
      <c r="B24" s="5" t="inlineStr">
        <is>
          <t>EXG-020</t>
        </is>
      </c>
      <c r="C24" s="5" t="inlineStr">
        <is>
          <t>Conception</t>
        </is>
      </c>
      <c r="D24" s="5" t="inlineStr">
        <is>
          <t>Responsive — Thème Odoo custom</t>
        </is>
      </c>
      <c r="E24" s="5" t="inlineStr">
        <is>
          <t>Création du thème Odoo grhades_theme héritant de website_sale theme. Surcharges CSS/SCSS : breakpoints mobile (&lt; 576px), tablette (576-992px). Composants OWL custom : menu mobile hamburger, carrousel homepage, sticky header. Palette couleurs GRHADES définie en variables CSS.</t>
        </is>
      </c>
      <c r="F24" s="5" t="inlineStr">
        <is>
          <t>Odoo Theme + SCSS + OWL</t>
        </is>
      </c>
      <c r="G24" s="5" t="inlineStr">
        <is>
          <t>Haute</t>
        </is>
      </c>
      <c r="H24" s="5" t="inlineStr">
        <is>
          <t>Validé</t>
        </is>
      </c>
      <c r="I24" s="5" t="inlineStr">
        <is>
          <t>M. Amine (Dev)</t>
        </is>
      </c>
      <c r="J24" s="5" t="inlineStr">
        <is>
          <t>28/04/2026</t>
        </is>
      </c>
      <c r="K24" s="5" t="inlineStr"/>
      <c r="L24" s="5" t="inlineStr">
        <is>
          <t>TST-021</t>
        </is>
      </c>
      <c r="M24" s="5" t="inlineStr">
        <is>
          <t>Charte graphique validée le 20/01/2026</t>
        </is>
      </c>
    </row>
    <row r="25">
      <c r="A25" s="4" t="inlineStr">
        <is>
          <t>SPEC-023</t>
        </is>
      </c>
      <c r="B25" s="4" t="inlineStr">
        <is>
          <t>EXG-021</t>
        </is>
      </c>
      <c r="C25" s="4" t="inlineStr">
        <is>
          <t>Conception</t>
        </is>
      </c>
      <c r="D25" s="4" t="inlineStr">
        <is>
          <t>Auth — Sécurité et blocage compte</t>
        </is>
      </c>
      <c r="E25" s="4" t="inlineStr">
        <is>
          <t>Extension module grhades_security : override res.users._check_credentials() pour comptabiliser les tentatives échouées (champ login_attempts Integer). Après 5 échecs : state=blocked, email de déblocage envoyé. Expiration session : paramètre ir.config_parameter session.gc_maxage = 3600s.</t>
        </is>
      </c>
      <c r="F25" s="4" t="inlineStr">
        <is>
          <t>Python Odoo ORM + Security</t>
        </is>
      </c>
      <c r="G25" s="4" t="inlineStr">
        <is>
          <t>Critique</t>
        </is>
      </c>
      <c r="H25" s="4" t="inlineStr">
        <is>
          <t>Validé</t>
        </is>
      </c>
      <c r="I25" s="4" t="inlineStr">
        <is>
          <t>M. Yassine (Tech)</t>
        </is>
      </c>
      <c r="J25" s="4" t="inlineStr">
        <is>
          <t>28/04/2026</t>
        </is>
      </c>
      <c r="K25" s="4" t="inlineStr"/>
      <c r="L25" s="4" t="inlineStr">
        <is>
          <t>TST-022</t>
        </is>
      </c>
      <c r="M25" s="4" t="inlineStr">
        <is>
          <t>Log des connexions dans res.users.log custom</t>
        </is>
      </c>
    </row>
    <row r="26">
      <c r="A26" s="5" t="inlineStr">
        <is>
          <t>SPEC-024</t>
        </is>
      </c>
      <c r="B26" s="5" t="inlineStr">
        <is>
          <t>EXG-022</t>
        </is>
      </c>
      <c r="C26" s="5" t="inlineStr">
        <is>
          <t>Conception</t>
        </is>
      </c>
      <c r="D26" s="5" t="inlineStr">
        <is>
          <t>RGPD — Consentement cookies et droits</t>
        </is>
      </c>
      <c r="E26" s="5" t="inlineStr">
        <is>
          <t>Module grhades_rgpd : composant OWL bandeau cookies (3 catégories : fonctionnel/analytique/marketing), stockage consentement dans res.partner (champ consent_ids Many2many). Route /rgpd/oubli : anonymisation (name='Anonyme', email=hash, phone=False). Route /rgpd/export : JSON res.partner + sale.order + account.move.</t>
        </is>
      </c>
      <c r="F26" s="5" t="inlineStr">
        <is>
          <t>Python Odoo + OWL + Routes</t>
        </is>
      </c>
      <c r="G26" s="5" t="inlineStr">
        <is>
          <t>Critique</t>
        </is>
      </c>
      <c r="H26" s="5" t="inlineStr">
        <is>
          <t>Validé</t>
        </is>
      </c>
      <c r="I26" s="5" t="inlineStr">
        <is>
          <t>Mme. Sara (MOA)</t>
        </is>
      </c>
      <c r="J26" s="5" t="inlineStr">
        <is>
          <t>30/04/2026</t>
        </is>
      </c>
      <c r="K26" s="5" t="inlineStr"/>
      <c r="L26" s="5" t="inlineStr">
        <is>
          <t>TST-023</t>
        </is>
      </c>
      <c r="M26" s="5" t="inlineStr">
        <is>
          <t>Validation DPO requise avant déploiement</t>
        </is>
      </c>
    </row>
    <row r="27">
      <c r="A27" s="4" t="inlineStr">
        <is>
          <t>SPEC-025</t>
        </is>
      </c>
      <c r="B27" s="4" t="inlineStr">
        <is>
          <t>EXG-023</t>
        </is>
      </c>
      <c r="C27" s="4" t="inlineStr">
        <is>
          <t>Conception</t>
        </is>
      </c>
      <c r="D27" s="4" t="inlineStr">
        <is>
          <t>Sécurité paiement — HTTPS et headers</t>
        </is>
      </c>
      <c r="E27" s="4" t="inlineStr">
        <is>
          <t>Configuration Nginx : HTTPS forcé (redirect 301), HSTS (max-age=31536000), headers sécurité (X-Frame-Options: DENY, X-Content-Type-Options: nosniff, CSP restreint). Certificat SSL Let's Encrypt auto-renouvelé. Stripe : aucune donnée CB côté serveur (Stripe.js tokenisation).</t>
        </is>
      </c>
      <c r="F27" s="4" t="inlineStr">
        <is>
          <t>Nginx + Stripe + Config</t>
        </is>
      </c>
      <c r="G27" s="4" t="inlineStr">
        <is>
          <t>Critique</t>
        </is>
      </c>
      <c r="H27" s="4" t="inlineStr">
        <is>
          <t>Validé</t>
        </is>
      </c>
      <c r="I27" s="4" t="inlineStr">
        <is>
          <t>M. Yassine (Tech)</t>
        </is>
      </c>
      <c r="J27" s="4" t="inlineStr">
        <is>
          <t>30/04/2026</t>
        </is>
      </c>
      <c r="K27" s="4" t="inlineStr"/>
      <c r="L27" s="4" t="inlineStr">
        <is>
          <t>TST-024</t>
        </is>
      </c>
      <c r="M27" s="4" t="inlineStr">
        <is>
          <t>Scan OWASP ZAP planifié avant mise en prod</t>
        </is>
      </c>
    </row>
    <row r="28">
      <c r="A28" s="5" t="inlineStr">
        <is>
          <t>SPEC-026</t>
        </is>
      </c>
      <c r="B28" s="5" t="inlineStr">
        <is>
          <t>EXG-024</t>
        </is>
      </c>
      <c r="C28" s="5" t="inlineStr">
        <is>
          <t>Conception</t>
        </is>
      </c>
      <c r="D28" s="5" t="inlineStr">
        <is>
          <t>Multilingue — Configuration Odoo i18n</t>
        </is>
      </c>
      <c r="E28" s="5" t="inlineStr">
        <is>
          <t>Activation des langues fr_FR (défaut) et en_US dans Odoo (res.lang). Traductions des champs produits via ir.translation. Composant OWL sélecteur de langue dans le header. Détection automatique langue navigateur (HTTP Accept-Language). Traductions des templates email dans les 2 langues.</t>
        </is>
      </c>
      <c r="F28" s="5" t="inlineStr">
        <is>
          <t>Odoo i18n + ir.translation</t>
        </is>
      </c>
      <c r="G28" s="5" t="inlineStr">
        <is>
          <t>Moyenne</t>
        </is>
      </c>
      <c r="H28" s="5" t="inlineStr">
        <is>
          <t>Validé</t>
        </is>
      </c>
      <c r="I28" s="5" t="inlineStr">
        <is>
          <t>M. Amine (Dev)</t>
        </is>
      </c>
      <c r="J28" s="5" t="inlineStr">
        <is>
          <t>02/05/2026</t>
        </is>
      </c>
      <c r="K28" s="5" t="inlineStr"/>
      <c r="L28" s="5" t="inlineStr">
        <is>
          <t>TST-025</t>
        </is>
      </c>
      <c r="M28" s="5" t="inlineStr">
        <is>
          <t>Fichiers .po à générer depuis le back-office Odoo</t>
        </is>
      </c>
    </row>
    <row r="29">
      <c r="A29" s="4" t="inlineStr">
        <is>
          <t>SPEC-027</t>
        </is>
      </c>
      <c r="B29" s="4" t="inlineStr">
        <is>
          <t>EXG-025</t>
        </is>
      </c>
      <c r="C29" s="4" t="inlineStr">
        <is>
          <t>Réalisation</t>
        </is>
      </c>
      <c r="D29" s="4" t="inlineStr">
        <is>
          <t>Module grhades_dashboard — Développement</t>
        </is>
      </c>
      <c r="E29" s="4" t="inlineStr">
        <is>
          <t>Structure module : __manifest__.py (dépendances : sale, account, stock), modèles Python (grhades/models/dashboard.py), vues XML (grhades/views/dashboard_views.xml), assets OWL (grhades/static/src/). Tests unitaires : tests/test_dashboard.py (coverage &gt; 80% obligatoire avant merge).</t>
        </is>
      </c>
      <c r="F29" s="4" t="inlineStr">
        <is>
          <t>Python Odoo + OWL + Tests</t>
        </is>
      </c>
      <c r="G29" s="4" t="inlineStr">
        <is>
          <t>Haute</t>
        </is>
      </c>
      <c r="H29" s="4" t="inlineStr">
        <is>
          <t>En cours</t>
        </is>
      </c>
      <c r="I29" s="4" t="inlineStr">
        <is>
          <t>M. Amine (Dev)</t>
        </is>
      </c>
      <c r="J29" s="4" t="inlineStr">
        <is>
          <t>05/05/2026</t>
        </is>
      </c>
      <c r="K29" s="4" t="inlineStr"/>
      <c r="L29" s="4" t="inlineStr"/>
      <c r="M29" s="4" t="inlineStr">
        <is>
          <t>Sprint 3 — graphes CA et commandes terminés</t>
        </is>
      </c>
    </row>
    <row r="30">
      <c r="A30" s="5" t="inlineStr">
        <is>
          <t>SPEC-028</t>
        </is>
      </c>
      <c r="B30" s="5" t="inlineStr">
        <is>
          <t>EXG-026</t>
        </is>
      </c>
      <c r="C30" s="5" t="inlineStr">
        <is>
          <t>Réalisation</t>
        </is>
      </c>
      <c r="D30" s="5" t="inlineStr">
        <is>
          <t>Module grhades_abandoned_cart — Développement</t>
        </is>
      </c>
      <c r="E30" s="5" t="inlineStr">
        <is>
          <t>Structure : modèle sale.order étendu (champ is_abandoned computed), cron ir.cron (intervalle 1h), méthode _send_recovery_sequence() appelant marketing.automation. Tests : simulation paniers avec différentes anciennetés, vérification non-envoi si commande validée entre-temps.</t>
        </is>
      </c>
      <c r="F30" s="5" t="inlineStr">
        <is>
          <t>Python Odoo + Cron + Tests</t>
        </is>
      </c>
      <c r="G30" s="5" t="inlineStr">
        <is>
          <t>Haute</t>
        </is>
      </c>
      <c r="H30" s="5" t="inlineStr">
        <is>
          <t>En cours</t>
        </is>
      </c>
      <c r="I30" s="5" t="inlineStr">
        <is>
          <t>M. Amine (Dev)</t>
        </is>
      </c>
      <c r="J30" s="5" t="inlineStr">
        <is>
          <t>08/05/2026</t>
        </is>
      </c>
      <c r="K30" s="5" t="inlineStr"/>
      <c r="L30" s="5" t="inlineStr"/>
      <c r="M30" s="5" t="inlineStr">
        <is>
          <t>Cron fonctionnel — séquence email en dev</t>
        </is>
      </c>
    </row>
    <row r="31">
      <c r="A31" s="4" t="inlineStr">
        <is>
          <t>SPEC-029</t>
        </is>
      </c>
      <c r="B31" s="4" t="inlineStr">
        <is>
          <t>EXG-027</t>
        </is>
      </c>
      <c r="C31" s="4" t="inlineStr">
        <is>
          <t>Réalisation</t>
        </is>
      </c>
      <c r="D31" s="4" t="inlineStr">
        <is>
          <t>Module grhades_product_review — Développement</t>
        </is>
      </c>
      <c r="E31" s="4" t="inlineStr">
        <is>
          <t>Modèle product.review : _sql_constraints (unique partner_id + product_id par commande), méthode action_publish() avec notification email au modérateur, compute _compute_average_rating sur product.template. Front : formulaire QWeb /shop/product/{id}/review, widget étoiles OWL.</t>
        </is>
      </c>
      <c r="F31" s="4" t="inlineStr">
        <is>
          <t>Python Odoo ORM + QWeb + OWL</t>
        </is>
      </c>
      <c r="G31" s="4" t="inlineStr">
        <is>
          <t>Moyenne</t>
        </is>
      </c>
      <c r="H31" s="4" t="inlineStr">
        <is>
          <t>En cours</t>
        </is>
      </c>
      <c r="I31" s="4" t="inlineStr">
        <is>
          <t>M. Amine (Dev)</t>
        </is>
      </c>
      <c r="J31" s="4" t="inlineStr">
        <is>
          <t>10/05/2026</t>
        </is>
      </c>
      <c r="K31" s="4" t="inlineStr"/>
      <c r="L31" s="4" t="inlineStr"/>
      <c r="M31" s="4" t="inlineStr">
        <is>
          <t>Modèle et vues back-office terminés — front en dev</t>
        </is>
      </c>
    </row>
    <row r="32">
      <c r="A32" s="5" t="inlineStr">
        <is>
          <t>SPEC-030</t>
        </is>
      </c>
      <c r="B32" s="5" t="inlineStr">
        <is>
          <t>EXG-028</t>
        </is>
      </c>
      <c r="C32" s="5" t="inlineStr">
        <is>
          <t>Réalisation</t>
        </is>
      </c>
      <c r="D32" s="5" t="inlineStr">
        <is>
          <t>Module grhades_rgpd — Développement</t>
        </is>
      </c>
      <c r="E32" s="5" t="inlineStr">
        <is>
          <t>Développement des routes Python (http.route) : GET /rgpd/export → génération JSON (res.partner + commandes + factures du partenaire connecté), POST /rgpd/oubli → write({'name': 'Anonyme XXXXXXXX', 'email': f'anonyme_{hash}@grhades.dz', 'phone': False, 'street': False}). Log dans grhades.rgpd.log (date, action, partner_id).</t>
        </is>
      </c>
      <c r="F32" s="5" t="inlineStr">
        <is>
          <t>Python Odoo + Routes HTTP</t>
        </is>
      </c>
      <c r="G32" s="5" t="inlineStr">
        <is>
          <t>Critique</t>
        </is>
      </c>
      <c r="H32" s="5" t="inlineStr">
        <is>
          <t>En cours</t>
        </is>
      </c>
      <c r="I32" s="5" t="inlineStr">
        <is>
          <t>M. Yassine (Tech)</t>
        </is>
      </c>
      <c r="J32" s="5" t="inlineStr">
        <is>
          <t>12/05/2026</t>
        </is>
      </c>
      <c r="K32" s="5" t="inlineStr"/>
      <c r="L32" s="5" t="inlineStr"/>
      <c r="M32" s="5" t="inlineStr">
        <is>
          <t>Anonymisation OK — export en dev</t>
        </is>
      </c>
    </row>
    <row r="33">
      <c r="A33" s="4" t="inlineStr">
        <is>
          <t>SPEC-031</t>
        </is>
      </c>
      <c r="B33" s="4" t="inlineStr">
        <is>
          <t>EXG-029</t>
        </is>
      </c>
      <c r="C33" s="4" t="inlineStr">
        <is>
          <t>Réalisation</t>
        </is>
      </c>
      <c r="D33" s="4" t="inlineStr">
        <is>
          <t>Module grhades_coupon_custom — Développement</t>
        </is>
      </c>
      <c r="E33" s="4" t="inlineStr">
        <is>
          <t>Extension coupon.program : ajout champ max_cumul_percentage (défaut 30%). Override _check_promo_applicability() : calcul cumul remises courantes + nouvelle remise, rejet si &gt; max_cumul_percentage. Interface Odoo : affichage du plafond dans la fiche programme de réduction.</t>
        </is>
      </c>
      <c r="F33" s="4" t="inlineStr">
        <is>
          <t>Python Odoo ORM + Coupon</t>
        </is>
      </c>
      <c r="G33" s="4" t="inlineStr">
        <is>
          <t>Haute</t>
        </is>
      </c>
      <c r="H33" s="4" t="inlineStr">
        <is>
          <t>En attente</t>
        </is>
      </c>
      <c r="I33" s="4" t="inlineStr">
        <is>
          <t>M. Amine (Dev)</t>
        </is>
      </c>
      <c r="J33" s="4" t="inlineStr">
        <is>
          <t>18/05/2026</t>
        </is>
      </c>
      <c r="K33" s="4" t="inlineStr"/>
      <c r="L33" s="4" t="inlineStr"/>
      <c r="M33" s="4" t="inlineStr">
        <is>
          <t>Démarrage sprint 4 le 27/04/2026</t>
        </is>
      </c>
    </row>
    <row r="34">
      <c r="A34" s="5" t="inlineStr">
        <is>
          <t>SPEC-032</t>
        </is>
      </c>
      <c r="B34" s="5" t="inlineStr">
        <is>
          <t>EXG-030</t>
        </is>
      </c>
      <c r="C34" s="5" t="inlineStr">
        <is>
          <t>Réalisation</t>
        </is>
      </c>
      <c r="D34" s="5" t="inlineStr">
        <is>
          <t>Script Python — Sauvegarde automatique</t>
        </is>
      </c>
      <c r="E34" s="5" t="inlineStr">
        <is>
          <t>Script Python backup_odoo.py : subprocess.run(['pg_dump', ...]) avec compression gzip, nommage GRHADES_odoo_{date}.sql.gz, copie sur NAS via shutil/SMB. Cron système (crontab 02h00). En cas d'échec : envoi email alerte via smtplib. Log résultat dans /var/log/grhades/backup.log.</t>
        </is>
      </c>
      <c r="F34" s="5" t="inlineStr">
        <is>
          <t>Python + PostgreSQL + NAS</t>
        </is>
      </c>
      <c r="G34" s="5" t="inlineStr">
        <is>
          <t>Critique</t>
        </is>
      </c>
      <c r="H34" s="5" t="inlineStr">
        <is>
          <t>En attente</t>
        </is>
      </c>
      <c r="I34" s="5" t="inlineStr">
        <is>
          <t>M. Yassine (Tech)</t>
        </is>
      </c>
      <c r="J34" s="5" t="inlineStr">
        <is>
          <t>20/05/2026</t>
        </is>
      </c>
      <c r="K34" s="5" t="inlineStr"/>
      <c r="L34" s="5" t="inlineStr"/>
      <c r="M34" s="5" t="inlineStr">
        <is>
          <t>NAS en cours de configuration IT</t>
        </is>
      </c>
    </row>
    <row r="35">
      <c r="A35" s="4" t="inlineStr">
        <is>
          <t>SPEC-033</t>
        </is>
      </c>
      <c r="B35" s="4" t="inlineStr">
        <is>
          <t>EXG-018</t>
        </is>
      </c>
      <c r="C35" s="4" t="inlineStr">
        <is>
          <t>Réalisation</t>
        </is>
      </c>
      <c r="D35" s="4" t="inlineStr">
        <is>
          <t>Dashboard — Rapport hebdomadaire automatique</t>
        </is>
      </c>
      <c r="E35" s="4" t="inlineStr">
        <is>
          <t>Extension grhades_dashboard : cron Odoo chaque lundi 07h00 générant un rapport PDF (QWeb report) synthétisant les KPIs de la semaine écoulée. Envoi automatique par email aux destinataires configurés (Many2many res.users dans ir.config_parameter).</t>
        </is>
      </c>
      <c r="F35" s="4" t="inlineStr">
        <is>
          <t>Python Odoo + QWeb Report</t>
        </is>
      </c>
      <c r="G35" s="4" t="inlineStr">
        <is>
          <t>Moyenne</t>
        </is>
      </c>
      <c r="H35" s="4" t="inlineStr">
        <is>
          <t>En attente</t>
        </is>
      </c>
      <c r="I35" s="4" t="inlineStr">
        <is>
          <t>M. Amine (Dev)</t>
        </is>
      </c>
      <c r="J35" s="4" t="inlineStr">
        <is>
          <t>22/05/2026</t>
        </is>
      </c>
      <c r="K35" s="4" t="inlineStr"/>
      <c r="L35" s="4" t="inlineStr"/>
      <c r="M35" s="4" t="inlineStr">
        <is>
          <t>Dépend de SPEC-027 (dashboard)</t>
        </is>
      </c>
    </row>
    <row r="36">
      <c r="A36" s="5" t="inlineStr">
        <is>
          <t>SPEC-034</t>
        </is>
      </c>
      <c r="B36" s="5" t="inlineStr">
        <is>
          <t>EXG-016</t>
        </is>
      </c>
      <c r="C36" s="5" t="inlineStr">
        <is>
          <t>Réalisation</t>
        </is>
      </c>
      <c r="D36" s="5" t="inlineStr">
        <is>
          <t>Marketing — Automatisation campagnes relance</t>
        </is>
      </c>
      <c r="E36" s="5" t="inlineStr">
        <is>
          <t>Configuration avancée Odoo Marketing Automation : workflow 'Réactivation clients inactifs' (trigger : partner inactif +60j, action : email J0 + SMS J+7 si pas d'ouverture). Module grhades_marketing_custom ajoute le champ sms_enabled et intègre l'envoi SMS via passerelle configurée dans ir.config_parameter.</t>
        </is>
      </c>
      <c r="F36" s="5" t="inlineStr">
        <is>
          <t>Odoo Marketing Automation + Python</t>
        </is>
      </c>
      <c r="G36" s="5" t="inlineStr">
        <is>
          <t>Moyenne</t>
        </is>
      </c>
      <c r="H36" s="5" t="inlineStr">
        <is>
          <t>En attente</t>
        </is>
      </c>
      <c r="I36" s="5" t="inlineStr">
        <is>
          <t>M. Amine (Dev)</t>
        </is>
      </c>
      <c r="J36" s="5" t="inlineStr">
        <is>
          <t>25/05/2026</t>
        </is>
      </c>
      <c r="K36" s="5" t="inlineStr"/>
      <c r="L36" s="5" t="inlineStr"/>
      <c r="M36" s="5" t="inlineStr">
        <is>
          <t>Passerelle SMS à sélectionner (Twilio ou OVH SMS)</t>
        </is>
      </c>
    </row>
  </sheetData>
  <autoFilter ref="A1:M36"/>
  <mergeCells count="1">
    <mergeCell ref="A1:M1"/>
  </mergeCells>
  <conditionalFormatting sqref="H3:H67">
    <cfRule type="cellIs" priority="1" operator="equal" dxfId="0">
      <formula>"Validé"</formula>
    </cfRule>
    <cfRule type="cellIs" priority="2" operator="equal" dxfId="0">
      <formula>"Terminé"</formula>
    </cfRule>
    <cfRule type="cellIs" priority="3" operator="equal" dxfId="2">
      <formula>"En cours"</formula>
    </cfRule>
    <cfRule type="cellIs" priority="4" operator="equal" dxfId="4">
      <formula>"En attente"</formula>
    </cfRule>
    <cfRule type="cellIs" priority="5" operator="equal" dxfId="1">
      <formula>"Rejeté"</formula>
    </cfRule>
  </conditionalFormatting>
  <conditionalFormatting sqref="G3:G67">
    <cfRule type="cellIs" priority="6" operator="equal" dxfId="1">
      <formula>"Critique"</formula>
    </cfRule>
    <cfRule type="cellIs" priority="7" operator="equal" dxfId="2">
      <formula>"Haute"</formula>
    </cfRule>
    <cfRule type="cellIs" priority="8" operator="equal" dxfId="4">
      <formula>"Moyenne"</formula>
    </cfRule>
    <cfRule type="cellIs" priority="9" operator="equal" dxfId="0">
      <formula>"Faible"</formula>
    </cfRule>
  </conditionalFormatting>
  <dataValidations count="3">
    <dataValidation sqref="C3:C67" showDropDown="0" showInputMessage="1" showErrorMessage="1" allowBlank="1" errorTitle="Erreur" error="Valeur non autorisée" promptTitle="" prompt="" type="list">
      <formula1>"Définition,Conception,Réalisation,Tests,Recette,Déploiement"</formula1>
    </dataValidation>
    <dataValidation sqref="G3:G67" showDropDown="0" showInputMessage="1" showErrorMessage="1" allowBlank="1" errorTitle="Erreur" error="Valeur non autorisée" promptTitle="" prompt="" type="list">
      <formula1>"Critique,Haute,Moyenne,Faible"</formula1>
    </dataValidation>
    <dataValidation sqref="H3:H67" showDropDown="0" showInputMessage="1" showErrorMessage="1" allowBlank="1" errorTitle="Erreur" error="Valeur non autorisée" promptTitle="" prompt="" type="list">
      <formula1>"En attente,Validé,En cours,Terminé,Rejeté"</formula1>
    </dataValidation>
  </dataValidation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4" customWidth="1" min="3" max="3"/>
    <col width="16" customWidth="1" min="4" max="4"/>
    <col width="10" customWidth="1" min="5" max="5"/>
    <col width="12" customWidth="1" min="6" max="6"/>
    <col width="18" customWidth="1" min="7" max="7"/>
    <col width="14" customWidth="1" min="8" max="8"/>
    <col width="10" customWidth="1" min="9" max="9"/>
    <col width="45" customWidth="1" min="10" max="10"/>
  </cols>
  <sheetData>
    <row r="1" ht="28" customHeight="1">
      <c r="A1" s="1" t="inlineStr">
        <is>
          <t>TABLEAU DE BORD — Avancement par Phase (Exigences &amp; Spécifications)</t>
        </is>
      </c>
    </row>
    <row r="2">
      <c r="A2" s="2" t="inlineStr">
        <is>
          <t>⟳  Formules automatiques — se recalcule à l'ouverture</t>
        </is>
      </c>
    </row>
    <row r="3" ht="22" customHeight="1">
      <c r="A3" s="9" t="inlineStr">
        <is>
          <t>Phase V-cycle</t>
        </is>
      </c>
      <c r="B3" s="9" t="inlineStr">
        <is>
          <t>EXG Total</t>
        </is>
      </c>
      <c r="C3" s="9" t="inlineStr">
        <is>
          <t>EXG Validées</t>
        </is>
      </c>
      <c r="D3" s="9" t="inlineStr">
        <is>
          <t>EXG En attente</t>
        </is>
      </c>
      <c r="E3" s="9" t="inlineStr">
        <is>
          <t>EXG %</t>
        </is>
      </c>
      <c r="F3" s="9" t="inlineStr">
        <is>
          <t>SPEC Total</t>
        </is>
      </c>
      <c r="G3" s="9" t="inlineStr">
        <is>
          <t>SPEC Validées/Term.</t>
        </is>
      </c>
      <c r="H3" s="9" t="inlineStr">
        <is>
          <t>SPEC En cours</t>
        </is>
      </c>
      <c r="I3" s="9" t="inlineStr">
        <is>
          <t>SPEC %</t>
        </is>
      </c>
      <c r="J3" s="9" t="inlineStr">
        <is>
          <t>Commentaires</t>
        </is>
      </c>
    </row>
    <row r="4">
      <c r="A4" s="10" t="inlineStr">
        <is>
          <t>Définition</t>
        </is>
      </c>
      <c r="B4" s="10">
        <f>COUNTIF('01_EXIGENCES'!$G$3:$G$200,"Définition")</f>
        <v/>
      </c>
      <c r="C4" s="10">
        <f>COUNTIFS('01_EXIGENCES'!$G$3:$G$200,"Définition",'01_EXIGENCES'!$H$3:$H$200,"Validé")</f>
        <v/>
      </c>
      <c r="D4" s="10">
        <f>COUNTIFS('01_EXIGENCES'!$G$3:$G$200,"Définition",'01_EXIGENCES'!$H$3:$H$200,"En attente")</f>
        <v/>
      </c>
      <c r="E4" s="11">
        <f>IF(B4=0,0,C4/B4)</f>
        <v/>
      </c>
      <c r="F4" s="10">
        <f>COUNTIF('02_SPECIFICATIONS'!$C$3:$C$200,"Définition")</f>
        <v/>
      </c>
      <c r="G4" s="10">
        <f>COUNTIFS('02_SPECIFICATIONS'!$C$3:$C$200,"Définition",'02_SPECIFICATIONS'!$H$3:$H$200,"Validé")+COUNTIFS('02_SPECIFICATIONS'!$C$3:$C$200,"Définition",'02_SPECIFICATIONS'!$H$3:$H$200,"Terminé")</f>
        <v/>
      </c>
      <c r="H4" s="10">
        <f>COUNTIFS('02_SPECIFICATIONS'!$C$3:$C$200,"Définition",'02_SPECIFICATIONS'!$H$3:$H$200,"En cours")</f>
        <v/>
      </c>
      <c r="I4" s="11">
        <f>IF(F4=0,0,G4/F4)</f>
        <v/>
      </c>
      <c r="J4" s="4" t="inlineStr">
        <is>
          <t>15 exigences fonctionnelles — toutes validées ✓</t>
        </is>
      </c>
    </row>
    <row r="5">
      <c r="A5" s="12" t="inlineStr">
        <is>
          <t>Conception</t>
        </is>
      </c>
      <c r="B5" s="12">
        <f>COUNTIF('01_EXIGENCES'!$G$3:$G$200,"Conception")</f>
        <v/>
      </c>
      <c r="C5" s="12">
        <f>COUNTIFS('01_EXIGENCES'!$G$3:$G$200,"Conception",'01_EXIGENCES'!$H$3:$H$200,"Validé")</f>
        <v/>
      </c>
      <c r="D5" s="12">
        <f>COUNTIFS('01_EXIGENCES'!$G$3:$G$200,"Conception",'01_EXIGENCES'!$H$3:$H$200,"En attente")</f>
        <v/>
      </c>
      <c r="E5" s="13">
        <f>IF(B5=0,0,C5/B5)</f>
        <v/>
      </c>
      <c r="F5" s="12">
        <f>COUNTIF('02_SPECIFICATIONS'!$C$3:$C$200,"Conception")</f>
        <v/>
      </c>
      <c r="G5" s="12">
        <f>COUNTIFS('02_SPECIFICATIONS'!$C$3:$C$200,"Conception",'02_SPECIFICATIONS'!$H$3:$H$200,"Validé")+COUNTIFS('02_SPECIFICATIONS'!$C$3:$C$200,"Conception",'02_SPECIFICATIONS'!$H$3:$H$200,"Terminé")</f>
        <v/>
      </c>
      <c r="H5" s="12">
        <f>COUNTIFS('02_SPECIFICATIONS'!$C$3:$C$200,"Conception",'02_SPECIFICATIONS'!$H$3:$H$200,"En cours")</f>
        <v/>
      </c>
      <c r="I5" s="13">
        <f>IF(F5=0,0,G5/F5)</f>
        <v/>
      </c>
      <c r="J5" s="5" t="inlineStr">
        <is>
          <t>15 exigences architecture &amp; sécurité — toutes validées ✓</t>
        </is>
      </c>
    </row>
    <row r="6">
      <c r="A6" s="10" t="inlineStr">
        <is>
          <t>Réalisation</t>
        </is>
      </c>
      <c r="B6" s="10">
        <f>COUNTIF('01_EXIGENCES'!$G$3:$G$200,"Réalisation")</f>
        <v/>
      </c>
      <c r="C6" s="10">
        <f>COUNTIFS('01_EXIGENCES'!$G$3:$G$200,"Réalisation",'01_EXIGENCES'!$H$3:$H$200,"Validé")</f>
        <v/>
      </c>
      <c r="D6" s="10">
        <f>COUNTIFS('01_EXIGENCES'!$G$3:$G$200,"Réalisation",'01_EXIGENCES'!$H$3:$H$200,"En attente")</f>
        <v/>
      </c>
      <c r="E6" s="11">
        <f>IF(B6=0,0,C6/B6)</f>
        <v/>
      </c>
      <c r="F6" s="10">
        <f>COUNTIF('02_SPECIFICATIONS'!$C$3:$C$200,"Réalisation")</f>
        <v/>
      </c>
      <c r="G6" s="10">
        <f>COUNTIFS('02_SPECIFICATIONS'!$C$3:$C$200,"Réalisation",'02_SPECIFICATIONS'!$H$3:$H$200,"Validé")+COUNTIFS('02_SPECIFICATIONS'!$C$3:$C$200,"Réalisation",'02_SPECIFICATIONS'!$H$3:$H$200,"Terminé")</f>
        <v/>
      </c>
      <c r="H6" s="10">
        <f>COUNTIFS('02_SPECIFICATIONS'!$C$3:$C$200,"Réalisation",'02_SPECIFICATIONS'!$H$3:$H$200,"En cours")</f>
        <v/>
      </c>
      <c r="I6" s="11">
        <f>IF(F6=0,0,G6/F6)</f>
        <v/>
      </c>
      <c r="J6" s="4" t="inlineStr">
        <is>
          <t>6 exigences techniques — modules Python custom en cours</t>
        </is>
      </c>
    </row>
    <row r="7">
      <c r="A7" s="12" t="inlineStr">
        <is>
          <t>Tests</t>
        </is>
      </c>
      <c r="B7" s="12">
        <f>COUNTIF('01_EXIGENCES'!$G$3:$G$200,"Tests")</f>
        <v/>
      </c>
      <c r="C7" s="12">
        <f>COUNTIFS('01_EXIGENCES'!$G$3:$G$200,"Tests",'01_EXIGENCES'!$H$3:$H$200,"Validé")</f>
        <v/>
      </c>
      <c r="D7" s="12">
        <f>COUNTIFS('01_EXIGENCES'!$G$3:$G$200,"Tests",'01_EXIGENCES'!$H$3:$H$200,"En attente")</f>
        <v/>
      </c>
      <c r="E7" s="13">
        <f>IF(B7=0,0,C7/B7)</f>
        <v/>
      </c>
      <c r="F7" s="12">
        <f>COUNTIF('02_SPECIFICATIONS'!$C$3:$C$200,"Tests")</f>
        <v/>
      </c>
      <c r="G7" s="12">
        <f>COUNTIFS('02_SPECIFICATIONS'!$C$3:$C$200,"Tests",'02_SPECIFICATIONS'!$H$3:$H$200,"Validé")+COUNTIFS('02_SPECIFICATIONS'!$C$3:$C$200,"Tests",'02_SPECIFICATIONS'!$H$3:$H$200,"Terminé")</f>
        <v/>
      </c>
      <c r="H7" s="12">
        <f>COUNTIFS('02_SPECIFICATIONS'!$C$3:$C$200,"Tests",'02_SPECIFICATIONS'!$H$3:$H$200,"En cours")</f>
        <v/>
      </c>
      <c r="I7" s="13">
        <f>IF(F7=0,0,G7/F7)</f>
        <v/>
      </c>
      <c r="J7" s="5" t="inlineStr">
        <is>
          <t>Tests fonctionnels en cours — phase active</t>
        </is>
      </c>
    </row>
    <row r="8">
      <c r="A8" s="10" t="inlineStr">
        <is>
          <t>Recette</t>
        </is>
      </c>
      <c r="B8" s="10">
        <f>COUNTIF('01_EXIGENCES'!$G$3:$G$200,"Recette")</f>
        <v/>
      </c>
      <c r="C8" s="10">
        <f>COUNTIFS('01_EXIGENCES'!$G$3:$G$200,"Recette",'01_EXIGENCES'!$H$3:$H$200,"Validé")</f>
        <v/>
      </c>
      <c r="D8" s="10">
        <f>COUNTIFS('01_EXIGENCES'!$G$3:$G$200,"Recette",'01_EXIGENCES'!$H$3:$H$200,"En attente")</f>
        <v/>
      </c>
      <c r="E8" s="11">
        <f>IF(B8=0,0,C8/B8)</f>
        <v/>
      </c>
      <c r="F8" s="10">
        <f>COUNTIF('02_SPECIFICATIONS'!$C$3:$C$200,"Recette")</f>
        <v/>
      </c>
      <c r="G8" s="10">
        <f>COUNTIFS('02_SPECIFICATIONS'!$C$3:$C$200,"Recette",'02_SPECIFICATIONS'!$H$3:$H$200,"Validé")+COUNTIFS('02_SPECIFICATIONS'!$C$3:$C$200,"Recette",'02_SPECIFICATIONS'!$H$3:$H$200,"Terminé")</f>
        <v/>
      </c>
      <c r="H8" s="10">
        <f>COUNTIFS('02_SPECIFICATIONS'!$C$3:$C$200,"Recette",'02_SPECIFICATIONS'!$H$3:$H$200,"En cours")</f>
        <v/>
      </c>
      <c r="I8" s="11">
        <f>IF(F8=0,0,G8/F8)</f>
        <v/>
      </c>
      <c r="J8" s="4" t="inlineStr">
        <is>
          <t>Recette MOA démarrée le 12/04/2026</t>
        </is>
      </c>
    </row>
    <row r="9">
      <c r="A9" s="12" t="inlineStr">
        <is>
          <t>Déploiement</t>
        </is>
      </c>
      <c r="B9" s="12">
        <f>COUNTIF('01_EXIGENCES'!$G$3:$G$200,"Déploiement")</f>
        <v/>
      </c>
      <c r="C9" s="12">
        <f>COUNTIFS('01_EXIGENCES'!$G$3:$G$200,"Déploiement",'01_EXIGENCES'!$H$3:$H$200,"Validé")</f>
        <v/>
      </c>
      <c r="D9" s="12">
        <f>COUNTIFS('01_EXIGENCES'!$G$3:$G$200,"Déploiement",'01_EXIGENCES'!$H$3:$H$200,"En attente")</f>
        <v/>
      </c>
      <c r="E9" s="13">
        <f>IF(B9=0,0,C9/B9)</f>
        <v/>
      </c>
      <c r="F9" s="12">
        <f>COUNTIF('02_SPECIFICATIONS'!$C$3:$C$200,"Déploiement")</f>
        <v/>
      </c>
      <c r="G9" s="12">
        <f>COUNTIFS('02_SPECIFICATIONS'!$C$3:$C$200,"Déploiement",'02_SPECIFICATIONS'!$H$3:$H$200,"Validé")+COUNTIFS('02_SPECIFICATIONS'!$C$3:$C$200,"Déploiement",'02_SPECIFICATIONS'!$H$3:$H$200,"Terminé")</f>
        <v/>
      </c>
      <c r="H9" s="12">
        <f>COUNTIFS('02_SPECIFICATIONS'!$C$3:$C$200,"Déploiement",'02_SPECIFICATIONS'!$H$3:$H$200,"En cours")</f>
        <v/>
      </c>
      <c r="I9" s="13">
        <f>IF(F9=0,0,G9/F9)</f>
        <v/>
      </c>
      <c r="J9" s="5" t="inlineStr">
        <is>
          <t>Planifié mai 2026</t>
        </is>
      </c>
    </row>
    <row r="10">
      <c r="A10" s="14" t="inlineStr">
        <is>
          <t>TOTAL</t>
        </is>
      </c>
      <c r="B10" s="14">
        <f>SUM(B4:B9)</f>
        <v/>
      </c>
      <c r="C10" s="14">
        <f>SUM(C4:C9)</f>
        <v/>
      </c>
      <c r="D10" s="14">
        <f>SUM(D4:D9)</f>
        <v/>
      </c>
      <c r="E10" s="15">
        <f>IF(B10=0,0,C10/B10)</f>
        <v/>
      </c>
      <c r="F10" s="14">
        <f>SUM(F4:F9)</f>
        <v/>
      </c>
      <c r="G10" s="14">
        <f>SUM(G4:G9)</f>
        <v/>
      </c>
      <c r="H10" s="14">
        <f>SUM(H4:H9)</f>
        <v/>
      </c>
      <c r="I10" s="15">
        <f>IF(F10=0,0,G10/F10)</f>
        <v/>
      </c>
      <c r="J10" s="16" t="inlineStr">
        <is>
          <t>Synthèse consolidée toutes phases</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H2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18" customWidth="1" min="3" max="3"/>
    <col width="10" customWidth="1" min="4" max="4"/>
    <col width="14" customWidth="1" min="5" max="5"/>
    <col width="18" customWidth="1" min="6" max="6"/>
    <col width="16" customWidth="1" min="7" max="7"/>
    <col width="55" customWidth="1" min="8" max="8"/>
  </cols>
  <sheetData>
    <row r="1" ht="28" customHeight="1">
      <c r="A1" s="17" t="inlineStr">
        <is>
          <t>REGISTRE DES MODULES PYTHON ODOO CUSTOM — GRHADES</t>
        </is>
      </c>
    </row>
    <row r="2" ht="22" customHeight="1">
      <c r="A2" s="18" t="inlineStr">
        <is>
          <t>Nom du module</t>
        </is>
      </c>
      <c r="B2" s="18" t="inlineStr">
        <is>
          <t>EXG liées</t>
        </is>
      </c>
      <c r="C2" s="18" t="inlineStr">
        <is>
          <t>SPEC liées</t>
        </is>
      </c>
      <c r="D2" s="18" t="inlineStr">
        <is>
          <t>Sprint</t>
        </is>
      </c>
      <c r="E2" s="18" t="inlineStr">
        <is>
          <t>Statut</t>
        </is>
      </c>
      <c r="F2" s="18" t="inlineStr">
        <is>
          <t>Responsable</t>
        </is>
      </c>
      <c r="G2" s="18" t="inlineStr">
        <is>
          <t>Date livraison</t>
        </is>
      </c>
      <c r="H2" s="18" t="inlineStr">
        <is>
          <t>Description courte</t>
        </is>
      </c>
    </row>
    <row r="3">
      <c r="A3" s="4" t="inlineStr">
        <is>
          <t>grhades_payment_stripe</t>
        </is>
      </c>
      <c r="B3" s="4" t="inlineStr">
        <is>
          <t>EXG-003</t>
        </is>
      </c>
      <c r="C3" s="4" t="inlineStr">
        <is>
          <t>SPEC-005</t>
        </is>
      </c>
      <c r="D3" s="4" t="inlineStr">
        <is>
          <t>S2</t>
        </is>
      </c>
      <c r="E3" s="4" t="inlineStr">
        <is>
          <t>Terminé</t>
        </is>
      </c>
      <c r="F3" s="4" t="inlineStr">
        <is>
          <t>M. Yassine</t>
        </is>
      </c>
      <c r="G3" s="4" t="inlineStr">
        <is>
          <t>14/03/2026</t>
        </is>
      </c>
      <c r="H3" s="4" t="inlineStr">
        <is>
          <t>Module paiement Stripe : PaymentIntent, webhook, tokenisation CB</t>
        </is>
      </c>
    </row>
    <row r="4">
      <c r="A4" s="5" t="inlineStr">
        <is>
          <t>grhades_stock_website</t>
        </is>
      </c>
      <c r="B4" s="5" t="inlineStr">
        <is>
          <t>EXG-005</t>
        </is>
      </c>
      <c r="C4" s="5" t="inlineStr">
        <is>
          <t>SPEC-007</t>
        </is>
      </c>
      <c r="D4" s="5" t="inlineStr">
        <is>
          <t>S2</t>
        </is>
      </c>
      <c r="E4" s="5" t="inlineStr">
        <is>
          <t>Terminé</t>
        </is>
      </c>
      <c r="F4" s="5" t="inlineStr">
        <is>
          <t>M. Yassine</t>
        </is>
      </c>
      <c r="G4" s="5" t="inlineStr">
        <is>
          <t>20/03/2026</t>
        </is>
      </c>
      <c r="H4" s="5" t="inlineStr">
        <is>
          <t>Disponibilité stock temps réel sur le site : badges En stock / Stock limité / Rupture</t>
        </is>
      </c>
    </row>
    <row r="5">
      <c r="A5" s="4" t="inlineStr">
        <is>
          <t>grhades_sale_custom</t>
        </is>
      </c>
      <c r="B5" s="4" t="inlineStr">
        <is>
          <t>EXG-006, EXG-007</t>
        </is>
      </c>
      <c r="C5" s="4" t="inlineStr">
        <is>
          <t>SPEC-008, SPEC-009</t>
        </is>
      </c>
      <c r="D5" s="4" t="inlineStr">
        <is>
          <t>S2</t>
        </is>
      </c>
      <c r="E5" s="4" t="inlineStr">
        <is>
          <t>Terminé</t>
        </is>
      </c>
      <c r="F5" s="4" t="inlineStr">
        <is>
          <t>M. Yassine</t>
        </is>
      </c>
      <c r="G5" s="4" t="inlineStr">
        <is>
          <t>22/03/2026</t>
        </is>
      </c>
      <c r="H5" s="4" t="inlineStr">
        <is>
          <t>Post-hooks sur sale.order.action_confirm : picking + facture automatiques</t>
        </is>
      </c>
    </row>
    <row r="6">
      <c r="A6" s="5" t="inlineStr">
        <is>
          <t>grhades_mail_templates</t>
        </is>
      </c>
      <c r="B6" s="5" t="inlineStr">
        <is>
          <t>EXG-008</t>
        </is>
      </c>
      <c r="C6" s="5" t="inlineStr">
        <is>
          <t>SPEC-010</t>
        </is>
      </c>
      <c r="D6" s="5" t="inlineStr">
        <is>
          <t>S2</t>
        </is>
      </c>
      <c r="E6" s="5" t="inlineStr">
        <is>
          <t>Terminé</t>
        </is>
      </c>
      <c r="F6" s="5" t="inlineStr">
        <is>
          <t>M. Amine</t>
        </is>
      </c>
      <c r="G6" s="5" t="inlineStr">
        <is>
          <t>25/03/2026</t>
        </is>
      </c>
      <c r="H6" s="5" t="inlineStr">
        <is>
          <t>5 templates QWeb email transactionnels (commande, expédition, facture, retour, remboursement)</t>
        </is>
      </c>
    </row>
    <row r="7">
      <c r="A7" s="4" t="inlineStr">
        <is>
          <t>grhades_returns</t>
        </is>
      </c>
      <c r="B7" s="4" t="inlineStr">
        <is>
          <t>EXG-009</t>
        </is>
      </c>
      <c r="C7" s="4" t="inlineStr">
        <is>
          <t>SPEC-011</t>
        </is>
      </c>
      <c r="D7" s="4" t="inlineStr">
        <is>
          <t>S2</t>
        </is>
      </c>
      <c r="E7" s="4" t="inlineStr">
        <is>
          <t>Terminé</t>
        </is>
      </c>
      <c r="F7" s="4" t="inlineStr">
        <is>
          <t>M. Yassine</t>
        </is>
      </c>
      <c r="G7" s="4" t="inlineStr">
        <is>
          <t>28/03/2026</t>
        </is>
      </c>
      <c r="H7" s="4" t="inlineStr">
        <is>
          <t>Workflow retours complet : formulaire portail, avoir, remboursement Stripe</t>
        </is>
      </c>
    </row>
    <row r="8">
      <c r="A8" s="5" t="inlineStr">
        <is>
          <t>grhades_customer_portal</t>
        </is>
      </c>
      <c r="B8" s="5" t="inlineStr">
        <is>
          <t>EXG-004</t>
        </is>
      </c>
      <c r="C8" s="5" t="inlineStr">
        <is>
          <t>SPEC-006</t>
        </is>
      </c>
      <c r="D8" s="5" t="inlineStr">
        <is>
          <t>S2</t>
        </is>
      </c>
      <c r="E8" s="5" t="inlineStr">
        <is>
          <t>Terminé</t>
        </is>
      </c>
      <c r="F8" s="5" t="inlineStr">
        <is>
          <t>M. Amine</t>
        </is>
      </c>
      <c r="G8" s="5" t="inlineStr">
        <is>
          <t>18/03/2026</t>
        </is>
      </c>
      <c r="H8" s="5" t="inlineStr">
        <is>
          <t>Extension portail Odoo : pages /my/loyalty, /my/reviews, /my/returns</t>
        </is>
      </c>
    </row>
    <row r="9">
      <c r="A9" s="4" t="inlineStr">
        <is>
          <t>grhades_product_display</t>
        </is>
      </c>
      <c r="B9" s="4" t="inlineStr">
        <is>
          <t>EXG-001</t>
        </is>
      </c>
      <c r="C9" s="4" t="inlineStr">
        <is>
          <t>SPEC-001, SPEC-002</t>
        </is>
      </c>
      <c r="D9" s="4" t="inlineStr">
        <is>
          <t>S2</t>
        </is>
      </c>
      <c r="E9" s="4" t="inlineStr">
        <is>
          <t>Terminé</t>
        </is>
      </c>
      <c r="F9" s="4" t="inlineStr">
        <is>
          <t>M. Amine</t>
        </is>
      </c>
      <c r="G9" s="4" t="inlineStr">
        <is>
          <t>10/03/2026</t>
        </is>
      </c>
      <c r="H9" s="4" t="inlineStr">
        <is>
          <t>Surcharge templates fiche produit : galerie OWL, sélecteur variantes, badge Nouveau</t>
        </is>
      </c>
    </row>
    <row r="10">
      <c r="A10" s="5" t="inlineStr">
        <is>
          <t>grhades_loyalty_custom</t>
        </is>
      </c>
      <c r="B10" s="5" t="inlineStr">
        <is>
          <t>EXG-011</t>
        </is>
      </c>
      <c r="C10" s="5" t="inlineStr">
        <is>
          <t>SPEC-013</t>
        </is>
      </c>
      <c r="D10" s="5" t="inlineStr">
        <is>
          <t>S3</t>
        </is>
      </c>
      <c r="E10" s="5" t="inlineStr">
        <is>
          <t>En cours</t>
        </is>
      </c>
      <c r="F10" s="5" t="inlineStr">
        <is>
          <t>M. Amine</t>
        </is>
      </c>
      <c r="G10" s="5" t="inlineStr">
        <is>
          <t>05/05/2026</t>
        </is>
      </c>
      <c r="H10" s="5" t="inlineStr">
        <is>
          <t>Extension Odoo Loyalty : widget points header, email notification, alerte solde</t>
        </is>
      </c>
    </row>
    <row r="11">
      <c r="A11" s="4" t="inlineStr">
        <is>
          <t>grhades_product_review</t>
        </is>
      </c>
      <c r="B11" s="4" t="inlineStr">
        <is>
          <t>EXG-012</t>
        </is>
      </c>
      <c r="C11" s="4" t="inlineStr">
        <is>
          <t>SPEC-014, SPEC-029</t>
        </is>
      </c>
      <c r="D11" s="4" t="inlineStr">
        <is>
          <t>S3</t>
        </is>
      </c>
      <c r="E11" s="4" t="inlineStr">
        <is>
          <t>En cours</t>
        </is>
      </c>
      <c r="F11" s="4" t="inlineStr">
        <is>
          <t>M. Amine</t>
        </is>
      </c>
      <c r="G11" s="4" t="inlineStr">
        <is>
          <t>10/05/2026</t>
        </is>
      </c>
      <c r="H11" s="4" t="inlineStr">
        <is>
          <t>Modèle product.review, interface modération back-office, widget étoiles front</t>
        </is>
      </c>
    </row>
    <row r="12">
      <c r="A12" s="5" t="inlineStr">
        <is>
          <t>grhades_crm_website</t>
        </is>
      </c>
      <c r="B12" s="5" t="inlineStr">
        <is>
          <t>EXG-015</t>
        </is>
      </c>
      <c r="C12" s="5" t="inlineStr">
        <is>
          <t>SPEC-017</t>
        </is>
      </c>
      <c r="D12" s="5" t="inlineStr">
        <is>
          <t>S3</t>
        </is>
      </c>
      <c r="E12" s="5" t="inlineStr">
        <is>
          <t>En cours</t>
        </is>
      </c>
      <c r="F12" s="5" t="inlineStr">
        <is>
          <t>M. Amine</t>
        </is>
      </c>
      <c r="G12" s="5" t="inlineStr">
        <is>
          <t>15/04/2026</t>
        </is>
      </c>
      <c r="H12" s="5" t="inlineStr">
        <is>
          <t>Extension formulaire contact : champs UTM, catégorie intérêt, règles assignation CRM</t>
        </is>
      </c>
    </row>
    <row r="13">
      <c r="A13" s="4" t="inlineStr">
        <is>
          <t>grhades_abandoned_cart</t>
        </is>
      </c>
      <c r="B13" s="4" t="inlineStr">
        <is>
          <t>EXG-017</t>
        </is>
      </c>
      <c r="C13" s="4" t="inlineStr">
        <is>
          <t>SPEC-019, SPEC-028</t>
        </is>
      </c>
      <c r="D13" s="4" t="inlineStr">
        <is>
          <t>S3</t>
        </is>
      </c>
      <c r="E13" s="4" t="inlineStr">
        <is>
          <t>En cours</t>
        </is>
      </c>
      <c r="F13" s="4" t="inlineStr">
        <is>
          <t>M. Amine</t>
        </is>
      </c>
      <c r="G13" s="4" t="inlineStr">
        <is>
          <t>08/05/2026</t>
        </is>
      </c>
      <c r="H13" s="4" t="inlineStr">
        <is>
          <t>Détection paniers abandonnés + séquence email relance via Marketing Automation</t>
        </is>
      </c>
    </row>
    <row r="14">
      <c r="A14" s="5" t="inlineStr">
        <is>
          <t>grhades_dashboard</t>
        </is>
      </c>
      <c r="B14" s="5" t="inlineStr">
        <is>
          <t>EXG-018, EXG-025</t>
        </is>
      </c>
      <c r="C14" s="5" t="inlineStr">
        <is>
          <t>SPEC-020, SPEC-027</t>
        </is>
      </c>
      <c r="D14" s="5" t="inlineStr">
        <is>
          <t>S3</t>
        </is>
      </c>
      <c r="E14" s="5" t="inlineStr">
        <is>
          <t>En cours</t>
        </is>
      </c>
      <c r="F14" s="5" t="inlineStr">
        <is>
          <t>M. Amine</t>
        </is>
      </c>
      <c r="G14" s="5" t="inlineStr">
        <is>
          <t>05/05/2026</t>
        </is>
      </c>
      <c r="H14" s="5" t="inlineStr">
        <is>
          <t>Dashboard KPI e-commerce : CA, commandes, panier moyen, taux retour, top produits</t>
        </is>
      </c>
    </row>
    <row r="15">
      <c r="A15" s="4" t="inlineStr">
        <is>
          <t>grhades_rgpd</t>
        </is>
      </c>
      <c r="B15" s="4" t="inlineStr">
        <is>
          <t>EXG-022, EXG-028</t>
        </is>
      </c>
      <c r="C15" s="4" t="inlineStr">
        <is>
          <t>SPEC-024, SPEC-030</t>
        </is>
      </c>
      <c r="D15" s="4" t="inlineStr">
        <is>
          <t>S3</t>
        </is>
      </c>
      <c r="E15" s="4" t="inlineStr">
        <is>
          <t>En cours</t>
        </is>
      </c>
      <c r="F15" s="4" t="inlineStr">
        <is>
          <t>M. Yassine</t>
        </is>
      </c>
      <c r="G15" s="4" t="inlineStr">
        <is>
          <t>12/05/2026</t>
        </is>
      </c>
      <c r="H15" s="4" t="inlineStr">
        <is>
          <t>Bandeau cookies OWL, route /rgpd/oubli, route /rgpd/export, journal accès</t>
        </is>
      </c>
    </row>
    <row r="16">
      <c r="A16" s="5" t="inlineStr">
        <is>
          <t>grhades_security</t>
        </is>
      </c>
      <c r="B16" s="5" t="inlineStr">
        <is>
          <t>EXG-021</t>
        </is>
      </c>
      <c r="C16" s="5" t="inlineStr">
        <is>
          <t>SPEC-023</t>
        </is>
      </c>
      <c r="D16" s="5" t="inlineStr">
        <is>
          <t>S3</t>
        </is>
      </c>
      <c r="E16" s="5" t="inlineStr">
        <is>
          <t>En cours</t>
        </is>
      </c>
      <c r="F16" s="5" t="inlineStr">
        <is>
          <t>M. Yassine</t>
        </is>
      </c>
      <c r="G16" s="5" t="inlineStr">
        <is>
          <t>28/04/2026</t>
        </is>
      </c>
      <c r="H16" s="5" t="inlineStr">
        <is>
          <t>Blocage compte 5 tentatives, log connexions, expiration session configurable</t>
        </is>
      </c>
    </row>
    <row r="17">
      <c r="A17" s="4" t="inlineStr">
        <is>
          <t>grhades_marketing_custom</t>
        </is>
      </c>
      <c r="B17" s="4" t="inlineStr">
        <is>
          <t>EXG-016</t>
        </is>
      </c>
      <c r="C17" s="4" t="inlineStr">
        <is>
          <t>SPEC-018, SPEC-034</t>
        </is>
      </c>
      <c r="D17" s="4" t="inlineStr">
        <is>
          <t>S4</t>
        </is>
      </c>
      <c r="E17" s="4" t="inlineStr">
        <is>
          <t>En attente</t>
        </is>
      </c>
      <c r="F17" s="4" t="inlineStr">
        <is>
          <t>M. Amine</t>
        </is>
      </c>
      <c r="G17" s="4" t="inlineStr">
        <is>
          <t>25/05/2026</t>
        </is>
      </c>
      <c r="H17" s="4" t="inlineStr">
        <is>
          <t>Segments emailing avancés, automatisation relance inactifs, intégration SMS</t>
        </is>
      </c>
    </row>
    <row r="18">
      <c r="A18" s="5" t="inlineStr">
        <is>
          <t>grhades_coupon_custom</t>
        </is>
      </c>
      <c r="B18" s="5" t="inlineStr">
        <is>
          <t>EXG-013, EXG-029</t>
        </is>
      </c>
      <c r="C18" s="5" t="inlineStr">
        <is>
          <t>SPEC-015, SPEC-031</t>
        </is>
      </c>
      <c r="D18" s="5" t="inlineStr">
        <is>
          <t>S4</t>
        </is>
      </c>
      <c r="E18" s="5" t="inlineStr">
        <is>
          <t>En attente</t>
        </is>
      </c>
      <c r="F18" s="5" t="inlineStr">
        <is>
          <t>M. Amine</t>
        </is>
      </c>
      <c r="G18" s="5" t="inlineStr">
        <is>
          <t>18/05/2026</t>
        </is>
      </c>
      <c r="H18" s="5" t="inlineStr">
        <is>
          <t>Plafonnement remises cumulées (code promo + fidélité), alertes expiration</t>
        </is>
      </c>
    </row>
    <row r="19">
      <c r="A19" s="4" t="inlineStr">
        <is>
          <t>grhades_delivery_tracking</t>
        </is>
      </c>
      <c r="B19" s="4" t="inlineStr">
        <is>
          <t>EXG-014</t>
        </is>
      </c>
      <c r="C19" s="4" t="inlineStr">
        <is>
          <t>SPEC-016</t>
        </is>
      </c>
      <c r="D19" s="4" t="inlineStr">
        <is>
          <t>S4</t>
        </is>
      </c>
      <c r="E19" s="4" t="inlineStr">
        <is>
          <t>En attente</t>
        </is>
      </c>
      <c r="F19" s="4" t="inlineStr">
        <is>
          <t>M. Amine</t>
        </is>
      </c>
      <c r="G19" s="4" t="inlineStr">
        <is>
          <t>15/05/2026</t>
        </is>
      </c>
      <c r="H19" s="4" t="inlineStr">
        <is>
          <t>Tracking livraison portail client, timeline OWL, email automatique changement statut</t>
        </is>
      </c>
    </row>
    <row r="20">
      <c r="A20" s="5" t="inlineStr">
        <is>
          <t>grhades_theme</t>
        </is>
      </c>
      <c r="B20" s="5" t="inlineStr">
        <is>
          <t>EXG-020</t>
        </is>
      </c>
      <c r="C20" s="5" t="inlineStr">
        <is>
          <t>SPEC-022</t>
        </is>
      </c>
      <c r="D20" s="5" t="inlineStr">
        <is>
          <t>S2</t>
        </is>
      </c>
      <c r="E20" s="5" t="inlineStr">
        <is>
          <t>Terminé</t>
        </is>
      </c>
      <c r="F20" s="5" t="inlineStr">
        <is>
          <t>M. Amine</t>
        </is>
      </c>
      <c r="G20" s="5" t="inlineStr">
        <is>
          <t>28/04/2026</t>
        </is>
      </c>
      <c r="H20" s="5" t="inlineStr">
        <is>
          <t>Thème Odoo custom Bootstrap 5 : responsive mobile/tablette, palette GRHADES, menu OWL</t>
        </is>
      </c>
    </row>
    <row r="21">
      <c r="A21" s="4" t="inlineStr">
        <is>
          <t>backup_odoo.py</t>
        </is>
      </c>
      <c r="B21" s="4" t="inlineStr">
        <is>
          <t>EXG-030</t>
        </is>
      </c>
      <c r="C21" s="4" t="inlineStr">
        <is>
          <t>SPEC-032</t>
        </is>
      </c>
      <c r="D21" s="4" t="inlineStr">
        <is>
          <t>S4</t>
        </is>
      </c>
      <c r="E21" s="4" t="inlineStr">
        <is>
          <t>En attente</t>
        </is>
      </c>
      <c r="F21" s="4" t="inlineStr">
        <is>
          <t>M. Yassine</t>
        </is>
      </c>
      <c r="G21" s="4" t="inlineStr">
        <is>
          <t>20/05/2026</t>
        </is>
      </c>
      <c r="H21" s="4" t="inlineStr">
        <is>
          <t>Script Python cron backup PostgreSQL → NAS, alertes email, rotation 30 jours</t>
        </is>
      </c>
    </row>
  </sheetData>
  <autoFilter ref="A1:H21"/>
  <mergeCells count="1">
    <mergeCell ref="A1:H1"/>
  </mergeCells>
  <conditionalFormatting sqref="E3:E32">
    <cfRule type="cellIs" priority="1" operator="equal" dxfId="0">
      <formula>"Terminé"</formula>
    </cfRule>
    <cfRule type="cellIs" priority="2" operator="equal" dxfId="2">
      <formula>"En cours"</formula>
    </cfRule>
    <cfRule type="cellIs" priority="3" operator="equal" dxfId="4">
      <formula>"En attente"</formula>
    </cfRule>
    <cfRule type="cellIs" priority="4" operator="equal" dxfId="1">
      <formula>"Rejeté"</formula>
    </cfRule>
  </conditionalFormatting>
  <dataValidations count="1">
    <dataValidation sqref="E3:E32" showDropDown="0" showInputMessage="1" showErrorMessage="1" allowBlank="1" errorTitle="Erreur" error="Valeur non autorisée" promptTitle="" prompt="" type="list">
      <formula1>"Terminé,En cours,En attente,Rejeté"</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2026-04-19T22:04:14Z</dcterms:created>
  <dcterms:modified xmlns:dcterms="http://purl.org/dc/terms/" xmlns:xsi="http://www.w3.org/2001/XMLSchema-instance" xsi:type="dcterms:W3CDTF">2026-04-19T22:04:14Z</dcterms:modified>
</cp:coreProperties>
</file>