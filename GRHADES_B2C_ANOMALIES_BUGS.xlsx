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mami\Downloads\"/>
    </mc:Choice>
  </mc:AlternateContent>
  <xr:revisionPtr revIDLastSave="0" documentId="13_ncr:1_{F4948982-0B25-4587-92AE-642AD460C502}" xr6:coauthVersionLast="47" xr6:coauthVersionMax="47" xr10:uidLastSave="{00000000-0000-0000-0000-000000000000}"/>
  <bookViews>
    <workbookView xWindow="-108" yWindow="-108" windowWidth="23256" windowHeight="12456" activeTab="1" xr2:uid="{00000000-000D-0000-FFFF-FFFF00000000}"/>
  </bookViews>
  <sheets>
    <sheet name="00_LEGENDE" sheetId="1" r:id="rId1"/>
    <sheet name="01_ANOMALIES" sheetId="2" r:id="rId2"/>
    <sheet name="02_SYNTHESE_PHASE" sheetId="3" r:id="rId3"/>
    <sheet name="03_HISTORIQUE" sheetId="4" r:id="rId4"/>
  </sheets>
  <definedNames>
    <definedName name="_xlnm._FilterDatabase" localSheetId="1" hidden="1">'01_ANOMALIES'!$A$1:$P$17</definedName>
    <definedName name="_xlnm._FilterDatabase" localSheetId="3" hidden="1">'03_HISTORIQUE'!$A$3:$G$3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3" l="1"/>
  <c r="I10" i="3"/>
  <c r="H10" i="3"/>
  <c r="B10" i="3"/>
  <c r="K9" i="3"/>
  <c r="J9" i="3"/>
  <c r="I9" i="3"/>
  <c r="H9" i="3"/>
  <c r="G9" i="3"/>
  <c r="F9" i="3"/>
  <c r="E9" i="3"/>
  <c r="D9" i="3"/>
  <c r="C9" i="3"/>
  <c r="B9" i="3"/>
  <c r="J8" i="3"/>
  <c r="I8" i="3"/>
  <c r="H8" i="3"/>
  <c r="G8" i="3"/>
  <c r="F8" i="3"/>
  <c r="E8" i="3"/>
  <c r="K8" i="3" s="1"/>
  <c r="D8" i="3"/>
  <c r="C8" i="3"/>
  <c r="B8" i="3"/>
  <c r="J7" i="3"/>
  <c r="I7" i="3"/>
  <c r="H7" i="3"/>
  <c r="G7" i="3"/>
  <c r="F7" i="3"/>
  <c r="E7" i="3"/>
  <c r="D7" i="3"/>
  <c r="C7" i="3"/>
  <c r="B7" i="3"/>
  <c r="K6" i="3"/>
  <c r="J6" i="3"/>
  <c r="I6" i="3"/>
  <c r="H6" i="3"/>
  <c r="G6" i="3"/>
  <c r="F6" i="3"/>
  <c r="E6" i="3"/>
  <c r="D6" i="3"/>
  <c r="C6" i="3"/>
  <c r="B6" i="3"/>
  <c r="K5" i="3"/>
  <c r="J5" i="3"/>
  <c r="I5" i="3"/>
  <c r="H5" i="3"/>
  <c r="G5" i="3"/>
  <c r="F5" i="3"/>
  <c r="E5" i="3"/>
  <c r="D5" i="3"/>
  <c r="C5" i="3"/>
  <c r="B5" i="3"/>
  <c r="K4" i="3"/>
  <c r="J4" i="3"/>
  <c r="I4" i="3"/>
  <c r="H4" i="3"/>
  <c r="G4" i="3"/>
  <c r="F4" i="3"/>
  <c r="E4" i="3"/>
  <c r="D4" i="3"/>
  <c r="C4" i="3"/>
  <c r="B4" i="3"/>
  <c r="C10" i="3" l="1"/>
  <c r="K7" i="3"/>
  <c r="D10" i="3"/>
  <c r="E10" i="3"/>
  <c r="F10" i="3"/>
  <c r="G10" i="3"/>
  <c r="K10" i="3" l="1"/>
</calcChain>
</file>

<file path=xl/sharedStrings.xml><?xml version="1.0" encoding="utf-8"?>
<sst xmlns="http://schemas.openxmlformats.org/spreadsheetml/2006/main" count="496" uniqueCount="241">
  <si>
    <t>LÉGENDE — GRHADES E-Commerce B2C | Anomalies &amp; Bugs</t>
  </si>
  <si>
    <t>⚠  Ne pas modifier sans validation chef de projet</t>
  </si>
  <si>
    <t xml:space="preserve">  Sévérité</t>
  </si>
  <si>
    <t>Bloquant</t>
  </si>
  <si>
    <t>Majeur</t>
  </si>
  <si>
    <t>Mineur</t>
  </si>
  <si>
    <t>Cosmétique</t>
  </si>
  <si>
    <t xml:space="preserve">  Priorité</t>
  </si>
  <si>
    <t>Critique</t>
  </si>
  <si>
    <t>Haute</t>
  </si>
  <si>
    <t>Moyenne</t>
  </si>
  <si>
    <t>Faible</t>
  </si>
  <si>
    <t xml:space="preserve">  Statut</t>
  </si>
  <si>
    <t>Ouvert</t>
  </si>
  <si>
    <t>En cours</t>
  </si>
  <si>
    <t>Résolu</t>
  </si>
  <si>
    <t>Fermé</t>
  </si>
  <si>
    <t>Rejeté</t>
  </si>
  <si>
    <t xml:space="preserve">  Phase détection</t>
  </si>
  <si>
    <t>Définition</t>
  </si>
  <si>
    <t>Conception</t>
  </si>
  <si>
    <t>Réalisation</t>
  </si>
  <si>
    <t>Tests</t>
  </si>
  <si>
    <t>Recette</t>
  </si>
  <si>
    <t>Déploiement</t>
  </si>
  <si>
    <t xml:space="preserve">  Phase origine</t>
  </si>
  <si>
    <t>Inconnu</t>
  </si>
  <si>
    <t xml:space="preserve">  Règles de saisie</t>
  </si>
  <si>
    <t>ID : ANO-NNN — unique et permanent</t>
  </si>
  <si>
    <t>Toute modification de statut → copier dans 03_HISTORIQUE</t>
  </si>
  <si>
    <t>Sévérité Bloquant = escalade immédiate au chef de projet</t>
  </si>
  <si>
    <t>Phase origine = phase où le défaut a été INTRODUIT (pas détecté)</t>
  </si>
  <si>
    <t>Date résolution = date du merge/déploiement du correctif</t>
  </si>
  <si>
    <t>REGISTRE DES ANOMALIES — GRHADES E-Commerce B2C (15 anomalies)</t>
  </si>
  <si>
    <t>ID_ANO</t>
  </si>
  <si>
    <t>Date détection</t>
  </si>
  <si>
    <t>Phase détection</t>
  </si>
  <si>
    <t>Phase origine</t>
  </si>
  <si>
    <t>Titre</t>
  </si>
  <si>
    <t>Description / Étapes de reproduction</t>
  </si>
  <si>
    <t>Sévérité</t>
  </si>
  <si>
    <t>Priorité</t>
  </si>
  <si>
    <t>Statut</t>
  </si>
  <si>
    <t>ID_EXG lié</t>
  </si>
  <si>
    <t>Assigné à</t>
  </si>
  <si>
    <t>Date cible</t>
  </si>
  <si>
    <t>Date résolution</t>
  </si>
  <si>
    <t>Version détection</t>
  </si>
  <si>
    <t>Version correction</t>
  </si>
  <si>
    <t>Commentaires / Solution appliquée</t>
  </si>
  <si>
    <t>ANO-001</t>
  </si>
  <si>
    <t>10/03/2026</t>
  </si>
  <si>
    <t>Variantes produit : images non mises à jour lors du changement de couleur</t>
  </si>
  <si>
    <t>Sur la fiche produit, quand l'utilisateur sélectionne une variante (ex. T-shirt Rouge → Bleu), les images de la galerie ne se mettent pas à jour. Le sélecteur OWL ne déclenche pas l'événement de rechargement d'image.</t>
  </si>
  <si>
    <t>EXG-001</t>
  </si>
  <si>
    <t>M. Amine (Dev)</t>
  </si>
  <si>
    <t>15/03/2026</t>
  </si>
  <si>
    <t>14/03/2026</t>
  </si>
  <si>
    <t>v0.7</t>
  </si>
  <si>
    <t>v0.8</t>
  </si>
  <si>
    <t>Ajout listener variant_change dans le composant OWL ProductImageCarousel. Commit #3a2f1b</t>
  </si>
  <si>
    <t>ANO-002</t>
  </si>
  <si>
    <t>Panier : quantité non vérifiée contre stock — survente possible</t>
  </si>
  <si>
    <t>Lors de l'ajout au panier, la vérification de stock ne s'exécute pas si le produit est ajouté depuis la page catégorie (bouton ajout rapide). Seule la fiche produit effectue la vérification. Risque de survente.</t>
  </si>
  <si>
    <t>EXG-005</t>
  </si>
  <si>
    <t>18/03/2026</t>
  </si>
  <si>
    <t>17/03/2026</t>
  </si>
  <si>
    <t>Vérification déplacée dans le controller /shop/cart/update (couvre tous les points d'entrée). Commit #4b3c2d</t>
  </si>
  <si>
    <t>ANO-003</t>
  </si>
  <si>
    <t>20/03/2026</t>
  </si>
  <si>
    <t>Module paiement : webhook Stripe non reçu en staging</t>
  </si>
  <si>
    <t>Le webhook Stripe payment_intent.succeeded n'est pas reçu par le contrôleur Odoo /payment/stripe/webhook en environnement de staging. La commande reste bloquée au statut 'En attente de paiement'. Cause identifiée : signature webhook incorrecte.</t>
  </si>
  <si>
    <t>EXG-003</t>
  </si>
  <si>
    <t>M. Yassine (Tech)</t>
  </si>
  <si>
    <t>22/03/2026</t>
  </si>
  <si>
    <t>21/03/2026</t>
  </si>
  <si>
    <t>v0.8.1</t>
  </si>
  <si>
    <t>Correction : endpoint_secret chargé depuis ir.config_parameter. Vérification stripe.WebhookSignature.verify_header ajoutée. Commit #5c4d3e</t>
  </si>
  <si>
    <t>ANO-004</t>
  </si>
  <si>
    <t>01/04/2026</t>
  </si>
  <si>
    <t>Facturation automatique : TVA incorrecte pour clients hors Algérie</t>
  </si>
  <si>
    <t>La facture générée automatiquement applique toujours le taux de TVA algérien (19%) même pour les commandes expédiées à l'étranger. La fiscal position n'est pas détectée automatiquement depuis l'adresse de livraison.</t>
  </si>
  <si>
    <t>EXG-007</t>
  </si>
  <si>
    <t>Mme. Sara (MOA)</t>
  </si>
  <si>
    <t>05/04/2026</t>
  </si>
  <si>
    <t>04/04/2026</t>
  </si>
  <si>
    <t>v0.9</t>
  </si>
  <si>
    <t>Ajout auto_apply=True sur la fiscal position internationale + country_group configuré. Commit #6d5e4f</t>
  </si>
  <si>
    <t>ANO-005</t>
  </si>
  <si>
    <t>Email confirmation commande : lien 'Voir ma commande' redirige vers erreur 403</t>
  </si>
  <si>
    <t>Le lien 'Voir ma commande' dans l'email de confirmation redirige vers /my/orders/{id} mais retourne une erreur 403 si le client n'est pas connecté. Le token d'accès au portail (portal.access_token) n'est pas inclus dans l'URL.</t>
  </si>
  <si>
    <t>EXG-008</t>
  </si>
  <si>
    <t>08/04/2026</t>
  </si>
  <si>
    <t>07/04/2026</t>
  </si>
  <si>
    <t>v0.9.1</t>
  </si>
  <si>
    <t>Ajout du paramètre access_token dans le template QWeb de l'email. Commit #7e6f5a</t>
  </si>
  <si>
    <t>ANO-006</t>
  </si>
  <si>
    <t>Programme fidélité : points non crédités si paiement par virement</t>
  </si>
  <si>
    <t>Les points de fidélité ne sont pas crédités quand la commande est payée par virement bancaire. Le trigger Python est accroché sur payment.transaction.done mais le virement valide la commande sans passer par payment.transaction.</t>
  </si>
  <si>
    <t>EXG-011</t>
  </si>
  <si>
    <t>18/04/2026</t>
  </si>
  <si>
    <t>Analyse : accrocher le trigger sur account.move posted plutôt que payment.transaction</t>
  </si>
  <si>
    <t>ANO-007</t>
  </si>
  <si>
    <t>10/04/2026</t>
  </si>
  <si>
    <t>Filtre prix catalogue : borne supérieure non inclusive</t>
  </si>
  <si>
    <t>Dans le filtre de prix du catalogue, la borne supérieure est exclusive (filtre '10€ - 50€' exclut les produits à exactement 50,00€). Erreur dans la domain Odoo : price &lt;= 50 au lieu de price &lt;= 50.</t>
  </si>
  <si>
    <t>EXG-010</t>
  </si>
  <si>
    <t>11/04/2026</t>
  </si>
  <si>
    <t>v0.9.2</t>
  </si>
  <si>
    <t>Correction domain : ('list_price', '&lt;=', price_max). Commit #8f7a6b</t>
  </si>
  <si>
    <t>ANO-008</t>
  </si>
  <si>
    <t>12/04/2026</t>
  </si>
  <si>
    <t>Module retours : avoir non généré si commande payée en CB + coupon</t>
  </si>
  <si>
    <t>Quand une commande a été payée en partie par coupon de réduction et en partie par CB, la génération de l'avoir échoue avec l'erreur 'Cannot reconcile credit note with multiple payment methods'. Le module grhades_returns ne gère pas ce cas.</t>
  </si>
  <si>
    <t>EXG-009</t>
  </si>
  <si>
    <t>19/04/2026</t>
  </si>
  <si>
    <t>Escalade CP — bloquant pour la recette retours. Analyse en cours.</t>
  </si>
  <si>
    <t>ANO-009</t>
  </si>
  <si>
    <t>14/04/2026</t>
  </si>
  <si>
    <t>Dashboard KPI : CA inclut les avoirs (chiffres gonflés)</t>
  </si>
  <si>
    <t>Le calcul du CA dans le dashboard Odoo (SPEC-020) inclut à tort les factures d'avoir (account.move type out_refund), ce qui gonfle artificiellement le CA affiché de 6 à 12% selon les périodes.</t>
  </si>
  <si>
    <t>EXG-018</t>
  </si>
  <si>
    <t>Correction domain : ajouter ('move_type', '=', 'out_invoice') dans le SUMIF</t>
  </si>
  <si>
    <t>ANO-010</t>
  </si>
  <si>
    <t>15/04/2026</t>
  </si>
  <si>
    <t>Bandeau RGPD cookies : consentement non mémorisé après fermeture navigateur</t>
  </si>
  <si>
    <t>Le consentement aux cookies enregistré dans le champ res.partner consent_ids est perdu quand l'utilisateur ferme et rouvre le navigateur. Le composant OWL recharge les préférences depuis le serveur mais ne les trouve pas si la session a expiré.</t>
  </si>
  <si>
    <t>EXG-022</t>
  </si>
  <si>
    <t>21/04/2026</t>
  </si>
  <si>
    <t>Fallback nécessaire : cookie navigateur local + synchronisation serveur</t>
  </si>
  <si>
    <t>ANO-011</t>
  </si>
  <si>
    <t>16/04/2026</t>
  </si>
  <si>
    <t>Menu mobile hamburger : fermeture impossible sur Safari iOS 17</t>
  </si>
  <si>
    <t>Sur Safari iOS 17, le menu hamburger s'ouvre correctement mais ne se ferme pas au clic sur le bouton de fermeture (X). L'événement click OWL n'est pas capturé correctement sur iOS (bug connu WebKit pour les éléments position:fixed).</t>
  </si>
  <si>
    <t>EXG-020</t>
  </si>
  <si>
    <t>22/04/2026</t>
  </si>
  <si>
    <t>Solution : remplacer click par touchend pour iOS. Workaround CSS possible.</t>
  </si>
  <si>
    <t>ANO-012</t>
  </si>
  <si>
    <t>17/04/2026</t>
  </si>
  <si>
    <t>Coupons : plafond 30% non appliqué lors du cumul fidélité + code promo</t>
  </si>
  <si>
    <t>Le module grhades_coupon_custom est en développement (SPEC-031) mais un test anticipé montre que l'override _check_promo_applicability ne calcule pas correctement le cumul quand les points de fidélité sont appliqués en premier.</t>
  </si>
  <si>
    <t>EXG-029</t>
  </si>
  <si>
    <t>25/04/2026</t>
  </si>
  <si>
    <t>Module en cours de dev — à corriger avant livraison sprint 4</t>
  </si>
  <si>
    <t>ANO-013</t>
  </si>
  <si>
    <t>Emails en anglais envoyés en français aux clients ayant choisi EN</t>
  </si>
  <si>
    <t>Les emails transactionnels (confirmation commande, expédition) sont toujours envoyés en français quelle que soit la langue du partenaire (res.partner.lang). Le mail.template ne récupère pas la langue depuis res.partner mais depuis la langue de l'utilisateur connecté.</t>
  </si>
  <si>
    <t>23/04/2026</t>
  </si>
  <si>
    <t>Correction : ajouter lang=partner.lang dans mail.template.send_mail(force_send=True)</t>
  </si>
  <si>
    <t>ANO-014</t>
  </si>
  <si>
    <t>Cron paniers abandonnés : s'exécute aussi sur les commandes validées</t>
  </si>
  <si>
    <t>Le cron grhades_abandoned_cart sélectionne parfois des sale.order dont le state est 'sale' (commande validée) si la commande a été validée dans la fenêtre d'exécution du cron. La condition de sélection ne filtre pas correctement sur state='draft'.</t>
  </si>
  <si>
    <t>EXG-017</t>
  </si>
  <si>
    <t>Domain cron : ajouter ('state', '=', 'draft') explicitement + test unitaire</t>
  </si>
  <si>
    <t>ANO-015</t>
  </si>
  <si>
    <t>Performance : page catalogue lente (&gt; 4s) sans cache Odoo actif</t>
  </si>
  <si>
    <t>Sans le cache navigateur (première visite ou cache vidé), la page catalogue met 4 à 6 secondes à charger avec 80 produits affichés. Requête SQL Odoo non optimisée : N+1 queries sur product.product pour les variantes.</t>
  </si>
  <si>
    <t>EXG-019</t>
  </si>
  <si>
    <t>24/04/2026</t>
  </si>
  <si>
    <t>Optimisation : prefetch_record_ids sur product.product + pagination stricte 24 produits</t>
  </si>
  <si>
    <t>TABLEAU DE BORD — Anomalies par Phase &amp; Sévérité</t>
  </si>
  <si>
    <t>⟳  Formules automatiques</t>
  </si>
  <si>
    <t>Phase (détection)</t>
  </si>
  <si>
    <t>Total</t>
  </si>
  <si>
    <t>Ouvertes</t>
  </si>
  <si>
    <t>Résolues</t>
  </si>
  <si>
    <t>Fermées</t>
  </si>
  <si>
    <t>Rejetées</t>
  </si>
  <si>
    <t>Bloquantes</t>
  </si>
  <si>
    <t>Majeures</t>
  </si>
  <si>
    <t>Mineures</t>
  </si>
  <si>
    <t>% Résolues</t>
  </si>
  <si>
    <t>TOTAL</t>
  </si>
  <si>
    <t>HISTORIQUE DES CHANGEMENTS — Journal Immuable GRHADES (27 entrées)</t>
  </si>
  <si>
    <t>🔒  Ne jamais supprimer de ligne — ajouter une nouvelle ligne à chaque changement de statut</t>
  </si>
  <si>
    <t>Horodatage</t>
  </si>
  <si>
    <t>Ancien statut</t>
  </si>
  <si>
    <t>Nouveau statut</t>
  </si>
  <si>
    <t>Modifié par</t>
  </si>
  <si>
    <t>Version</t>
  </si>
  <si>
    <t>Commentaire</t>
  </si>
  <si>
    <t>10/03/2026 09:00</t>
  </si>
  <si>
    <t>—</t>
  </si>
  <si>
    <t>M. Amine</t>
  </si>
  <si>
    <t>Anomalie détectée lors des tests composant OWL variantes</t>
  </si>
  <si>
    <t>12/03/2026 14:30</t>
  </si>
  <si>
    <t>Analyse du composant OWL ProductImageCarousel en cours</t>
  </si>
  <si>
    <t>14/03/2026 11:00</t>
  </si>
  <si>
    <t>Listener variant_change ajouté — tests OK sur 5 produits avec variantes</t>
  </si>
  <si>
    <t>15/03/2026 10:00</t>
  </si>
  <si>
    <t>Survente possible détectée — signalée immédiatement au CP</t>
  </si>
  <si>
    <t>15/03/2026 10:05</t>
  </si>
  <si>
    <t>M. Yassine</t>
  </si>
  <si>
    <t>Escalade CP — correction priorité Critique</t>
  </si>
  <si>
    <t>17/03/2026 09:00</t>
  </si>
  <si>
    <t>Vérification stock dans controller /shop/cart/update — tests OK</t>
  </si>
  <si>
    <t>20/03/2026 11:30</t>
  </si>
  <si>
    <t>Webhook Stripe bloqué — toutes commandes staging en attente</t>
  </si>
  <si>
    <t>20/03/2026 11:35</t>
  </si>
  <si>
    <t>Escalade CP — impact critique sur avancement des tests</t>
  </si>
  <si>
    <t>21/03/2026 17:00</t>
  </si>
  <si>
    <t>endpoint_secret corrigé dans ir.config_parameter — webhook OK</t>
  </si>
  <si>
    <t>01/04/2026 14:00</t>
  </si>
  <si>
    <t>Mme. Sara</t>
  </si>
  <si>
    <t>TVA incorrecte détectée lors des tests commandes internationales</t>
  </si>
  <si>
    <t>03/04/2026 10:00</t>
  </si>
  <si>
    <t>Analyse fiscal position — auto_apply manquant identifié</t>
  </si>
  <si>
    <t>04/04/2026 15:00</t>
  </si>
  <si>
    <t>Fiscal position corrigée — tests OK sur 3 pays (France, Tunisie, France)</t>
  </si>
  <si>
    <t>05/04/2026 09:00</t>
  </si>
  <si>
    <t>Lien 403 dans email — détecté lors du test de recette email</t>
  </si>
  <si>
    <t>07/04/2026 14:00</t>
  </si>
  <si>
    <t>access_token ajouté dans template QWeb — tests OK</t>
  </si>
  <si>
    <t>08/04/2026 10:00</t>
  </si>
  <si>
    <t>Points fidélité non crédités paiement virement — détecté en test</t>
  </si>
  <si>
    <t>08/04/2026 10:30</t>
  </si>
  <si>
    <t>Analyse trigger Python — account.move posted identifié comme meilleur point d'accroche</t>
  </si>
  <si>
    <t>10/04/2026 11:00</t>
  </si>
  <si>
    <t>Filtre prix borne sup. exclusive — détecté test filtre catalogue</t>
  </si>
  <si>
    <t>10/04/2026 14:00</t>
  </si>
  <si>
    <t>Domain &lt;= corrigé — tests OK</t>
  </si>
  <si>
    <t>12/04/2026 09:30</t>
  </si>
  <si>
    <t>Avoir échoue commande mixte coupon+CB — détecté recette retours</t>
  </si>
  <si>
    <t>12/04/2026 09:35</t>
  </si>
  <si>
    <t>Chef Projet</t>
  </si>
  <si>
    <t>Escalade CP — bloquant recette. Analyse planifiée semaine du 14/04</t>
  </si>
  <si>
    <t>14/04/2026 09:00</t>
  </si>
  <si>
    <t>CA gonflé par avoirs — détecté recette dashboard MOA</t>
  </si>
  <si>
    <t>15/04/2026 10:00</t>
  </si>
  <si>
    <t>Consentement cookies perdu après fermeture navigateur</t>
  </si>
  <si>
    <t>16/04/2026 11:00</t>
  </si>
  <si>
    <t>Menu mobile Safari iOS 17 — détecté test devices réels</t>
  </si>
  <si>
    <t>17/04/2026 09:00</t>
  </si>
  <si>
    <t>Plafond 30% non appliqué — test anticipé module coupon custom</t>
  </si>
  <si>
    <t>18/04/2026 14:00</t>
  </si>
  <si>
    <t>Emails langue incorrecte — signalé testeur anglophone</t>
  </si>
  <si>
    <t>19/04/2026 09:00</t>
  </si>
  <si>
    <t>Cron paniers abandonnés — commandes validées incluses à tort</t>
  </si>
  <si>
    <t>19/04/2026 10:00</t>
  </si>
  <si>
    <t>Performance page catalogue — 4-6s sans cache</t>
  </si>
  <si>
    <t>18/05/2026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</si>
</sst>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color rgb="FFFFFFFF"/>
      <name val="Arial"/>
    </font>
    <font>
      <i/>
      <sz val="9"/>
      <color rgb="FF9C5700"/>
      <name val="Arial"/>
    </font>
    <font>
      <b/>
      <sz val="10"/>
      <color rgb="FFFFFFFF"/>
      <name val="Arial"/>
    </font>
    <font>
      <sz val="10"/>
      <color rgb="FF1A1A1A"/>
      <name val="Arial"/>
    </font>
    <font>
      <b/>
      <sz val="10"/>
      <color rgb="FF1F4E79"/>
      <name val="Arial"/>
    </font>
  </fonts>
  <fills count="9">
    <fill>
      <patternFill patternType="none"/>
    </fill>
    <fill>
      <patternFill patternType="gray125"/>
    </fill>
    <fill>
      <patternFill patternType="solid">
        <fgColor rgb="FF1F4E79"/>
      </patternFill>
    </fill>
    <fill>
      <patternFill patternType="solid">
        <fgColor rgb="FFFFEB9C"/>
      </patternFill>
    </fill>
    <fill>
      <patternFill patternType="solid">
        <fgColor rgb="FFC00000"/>
      </patternFill>
    </fill>
    <fill>
      <patternFill patternType="solid">
        <fgColor rgb="FFFFFFFF"/>
      </patternFill>
    </fill>
    <fill>
      <patternFill patternType="solid">
        <fgColor rgb="FFEEF4FB"/>
      </patternFill>
    </fill>
    <fill>
      <patternFill patternType="solid">
        <fgColor rgb="FFD6E4F7"/>
      </patternFill>
    </fill>
    <fill>
      <patternFill patternType="solid">
        <fgColor rgb="FF7030A0"/>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FFFFFF"/>
      </left>
      <right style="thin">
        <color rgb="FFFFFFFF"/>
      </right>
      <top style="thin">
        <color rgb="FFFFFFFF"/>
      </top>
      <bottom style="thin">
        <color rgb="FFFFFFFF"/>
      </bottom>
      <diagonal/>
    </border>
    <border>
      <left style="thin">
        <color rgb="FF2E75B6"/>
      </left>
      <right style="thin">
        <color rgb="FF2E75B6"/>
      </right>
      <top style="thin">
        <color rgb="FF2E75B6"/>
      </top>
      <bottom style="thin">
        <color rgb="FF2E75B6"/>
      </bottom>
      <diagonal/>
    </border>
  </borders>
  <cellStyleXfs count="1">
    <xf numFmtId="0" fontId="0" fillId="0" borderId="0"/>
  </cellStyleXfs>
  <cellXfs count="17">
    <xf numFmtId="0" fontId="0" fillId="0" borderId="0" xfId="0"/>
    <xf numFmtId="0" fontId="4"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4" fillId="5" borderId="1" xfId="0" applyFont="1" applyFill="1" applyBorder="1" applyAlignment="1">
      <alignment horizontal="center" vertical="center" wrapText="1"/>
    </xf>
    <xf numFmtId="9" fontId="4" fillId="5" borderId="1" xfId="0" applyNumberFormat="1" applyFont="1" applyFill="1" applyBorder="1" applyAlignment="1">
      <alignment horizontal="center" vertical="center" wrapText="1"/>
    </xf>
    <xf numFmtId="0" fontId="4" fillId="6" borderId="1" xfId="0" applyFont="1" applyFill="1" applyBorder="1" applyAlignment="1">
      <alignment horizontal="center" vertical="center" wrapText="1"/>
    </xf>
    <xf numFmtId="9" fontId="4" fillId="6" borderId="1" xfId="0" applyNumberFormat="1" applyFont="1" applyFill="1" applyBorder="1" applyAlignment="1">
      <alignment horizontal="center" vertical="center" wrapText="1"/>
    </xf>
    <xf numFmtId="0" fontId="5" fillId="7" borderId="3" xfId="0" applyFont="1" applyFill="1" applyBorder="1" applyAlignment="1">
      <alignment horizontal="center" vertical="center" wrapText="1"/>
    </xf>
    <xf numFmtId="9" fontId="5" fillId="7" borderId="3" xfId="0" applyNumberFormat="1" applyFont="1" applyFill="1" applyBorder="1" applyAlignment="1">
      <alignment horizontal="center" vertical="center" wrapText="1"/>
    </xf>
    <xf numFmtId="0" fontId="3" fillId="8" borderId="2" xfId="0" applyFont="1" applyFill="1" applyBorder="1" applyAlignment="1">
      <alignment horizontal="center" vertical="center" wrapText="1"/>
    </xf>
    <xf numFmtId="0" fontId="2" fillId="3" borderId="0" xfId="0" applyFont="1" applyFill="1" applyAlignment="1">
      <alignment horizontal="center" vertical="center" wrapText="1"/>
    </xf>
    <xf numFmtId="0" fontId="0" fillId="0" borderId="0" xfId="0"/>
    <xf numFmtId="0" fontId="3" fillId="4" borderId="0" xfId="0" applyFont="1" applyFill="1" applyAlignment="1">
      <alignment horizontal="left" vertical="center" wrapText="1"/>
    </xf>
    <xf numFmtId="0" fontId="1" fillId="2" borderId="0" xfId="0" applyFont="1" applyFill="1" applyAlignment="1">
      <alignment horizontal="center" vertical="center" wrapText="1"/>
    </xf>
    <xf numFmtId="0" fontId="1" fillId="4" borderId="0" xfId="0" applyFont="1" applyFill="1" applyAlignment="1">
      <alignment horizontal="center" vertical="center" wrapText="1"/>
    </xf>
    <xf numFmtId="0" fontId="1" fillId="8" borderId="0" xfId="0" applyFont="1" applyFill="1" applyAlignment="1">
      <alignment horizontal="center" vertical="center" wrapText="1"/>
    </xf>
  </cellXfs>
  <cellStyles count="1">
    <cellStyle name="Normal" xfId="0" builtinId="0"/>
  </cellStyles>
  <dxfs count="9">
    <dxf>
      <fill>
        <patternFill patternType="solid">
          <fgColor rgb="FFD6E4F7"/>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C6EFCE"/>
        </patternFill>
      </fill>
    </dxf>
    <dxf>
      <fill>
        <patternFill patternType="solid">
          <fgColor rgb="FFFFFF99"/>
        </patternFill>
      </fill>
    </dxf>
    <dxf>
      <fill>
        <patternFill patternType="solid">
          <fgColor rgb="FFFFEB9C"/>
        </patternFill>
      </fill>
    </dxf>
    <dxf>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F44"/>
  <sheetViews>
    <sheetView workbookViewId="0">
      <selection sqref="A1:F1"/>
    </sheetView>
  </sheetViews>
  <sheetFormatPr baseColWidth="10" defaultColWidth="8.88671875" defaultRowHeight="14.4" x14ac:dyDescent="0.3"/>
  <cols>
    <col min="1" max="1" width="3" customWidth="1"/>
    <col min="2" max="2" width="70" customWidth="1"/>
    <col min="3" max="6" width="10" customWidth="1"/>
  </cols>
  <sheetData>
    <row r="1" spans="1:6" ht="28.05" customHeight="1" x14ac:dyDescent="0.3">
      <c r="A1" s="14" t="s">
        <v>0</v>
      </c>
      <c r="B1" s="12"/>
      <c r="C1" s="12"/>
      <c r="D1" s="12"/>
      <c r="E1" s="12"/>
      <c r="F1" s="12"/>
    </row>
    <row r="2" spans="1:6" x14ac:dyDescent="0.3">
      <c r="A2" s="11" t="s">
        <v>1</v>
      </c>
      <c r="B2" s="12"/>
      <c r="C2" s="12"/>
      <c r="D2" s="12"/>
      <c r="E2" s="12"/>
      <c r="F2" s="12"/>
    </row>
    <row r="4" spans="1:6" x14ac:dyDescent="0.3">
      <c r="A4" s="13" t="s">
        <v>2</v>
      </c>
      <c r="B4" s="12"/>
      <c r="C4" s="12"/>
      <c r="D4" s="12"/>
      <c r="E4" s="12"/>
      <c r="F4" s="12"/>
    </row>
    <row r="5" spans="1:6" x14ac:dyDescent="0.3">
      <c r="B5" s="1" t="s">
        <v>3</v>
      </c>
    </row>
    <row r="6" spans="1:6" x14ac:dyDescent="0.3">
      <c r="B6" s="2" t="s">
        <v>4</v>
      </c>
    </row>
    <row r="7" spans="1:6" x14ac:dyDescent="0.3">
      <c r="B7" s="1" t="s">
        <v>5</v>
      </c>
    </row>
    <row r="8" spans="1:6" x14ac:dyDescent="0.3">
      <c r="B8" s="2" t="s">
        <v>6</v>
      </c>
    </row>
    <row r="10" spans="1:6" x14ac:dyDescent="0.3">
      <c r="A10" s="13" t="s">
        <v>7</v>
      </c>
      <c r="B10" s="12"/>
      <c r="C10" s="12"/>
      <c r="D10" s="12"/>
      <c r="E10" s="12"/>
      <c r="F10" s="12"/>
    </row>
    <row r="11" spans="1:6" x14ac:dyDescent="0.3">
      <c r="B11" s="1" t="s">
        <v>8</v>
      </c>
    </row>
    <row r="12" spans="1:6" x14ac:dyDescent="0.3">
      <c r="B12" s="2" t="s">
        <v>9</v>
      </c>
    </row>
    <row r="13" spans="1:6" x14ac:dyDescent="0.3">
      <c r="B13" s="1" t="s">
        <v>10</v>
      </c>
    </row>
    <row r="14" spans="1:6" x14ac:dyDescent="0.3">
      <c r="B14" s="2" t="s">
        <v>11</v>
      </c>
    </row>
    <row r="16" spans="1:6" x14ac:dyDescent="0.3">
      <c r="A16" s="13" t="s">
        <v>12</v>
      </c>
      <c r="B16" s="12"/>
      <c r="C16" s="12"/>
      <c r="D16" s="12"/>
      <c r="E16" s="12"/>
      <c r="F16" s="12"/>
    </row>
    <row r="17" spans="1:6" x14ac:dyDescent="0.3">
      <c r="B17" s="1" t="s">
        <v>13</v>
      </c>
    </row>
    <row r="18" spans="1:6" x14ac:dyDescent="0.3">
      <c r="B18" s="2" t="s">
        <v>14</v>
      </c>
    </row>
    <row r="19" spans="1:6" x14ac:dyDescent="0.3">
      <c r="B19" s="1" t="s">
        <v>15</v>
      </c>
    </row>
    <row r="20" spans="1:6" x14ac:dyDescent="0.3">
      <c r="B20" s="2" t="s">
        <v>16</v>
      </c>
    </row>
    <row r="21" spans="1:6" x14ac:dyDescent="0.3">
      <c r="B21" s="1" t="s">
        <v>17</v>
      </c>
    </row>
    <row r="23" spans="1:6" x14ac:dyDescent="0.3">
      <c r="A23" s="13" t="s">
        <v>18</v>
      </c>
      <c r="B23" s="12"/>
      <c r="C23" s="12"/>
      <c r="D23" s="12"/>
      <c r="E23" s="12"/>
      <c r="F23" s="12"/>
    </row>
    <row r="24" spans="1:6" x14ac:dyDescent="0.3">
      <c r="B24" s="1" t="s">
        <v>19</v>
      </c>
    </row>
    <row r="25" spans="1:6" x14ac:dyDescent="0.3">
      <c r="B25" s="2" t="s">
        <v>20</v>
      </c>
    </row>
    <row r="26" spans="1:6" x14ac:dyDescent="0.3">
      <c r="B26" s="1" t="s">
        <v>21</v>
      </c>
    </row>
    <row r="27" spans="1:6" x14ac:dyDescent="0.3">
      <c r="B27" s="2" t="s">
        <v>22</v>
      </c>
    </row>
    <row r="28" spans="1:6" x14ac:dyDescent="0.3">
      <c r="B28" s="1" t="s">
        <v>23</v>
      </c>
    </row>
    <row r="29" spans="1:6" x14ac:dyDescent="0.3">
      <c r="B29" s="2" t="s">
        <v>24</v>
      </c>
    </row>
    <row r="31" spans="1:6" x14ac:dyDescent="0.3">
      <c r="A31" s="13" t="s">
        <v>25</v>
      </c>
      <c r="B31" s="12"/>
      <c r="C31" s="12"/>
      <c r="D31" s="12"/>
      <c r="E31" s="12"/>
      <c r="F31" s="12"/>
    </row>
    <row r="32" spans="1:6" x14ac:dyDescent="0.3">
      <c r="B32" s="1" t="s">
        <v>19</v>
      </c>
    </row>
    <row r="33" spans="1:6" x14ac:dyDescent="0.3">
      <c r="B33" s="2" t="s">
        <v>20</v>
      </c>
    </row>
    <row r="34" spans="1:6" x14ac:dyDescent="0.3">
      <c r="B34" s="1" t="s">
        <v>21</v>
      </c>
    </row>
    <row r="35" spans="1:6" x14ac:dyDescent="0.3">
      <c r="B35" s="2" t="s">
        <v>22</v>
      </c>
    </row>
    <row r="36" spans="1:6" x14ac:dyDescent="0.3">
      <c r="B36" s="1" t="s">
        <v>23</v>
      </c>
    </row>
    <row r="37" spans="1:6" x14ac:dyDescent="0.3">
      <c r="B37" s="2" t="s">
        <v>26</v>
      </c>
    </row>
    <row r="39" spans="1:6" x14ac:dyDescent="0.3">
      <c r="A39" s="13" t="s">
        <v>27</v>
      </c>
      <c r="B39" s="12"/>
      <c r="C39" s="12"/>
      <c r="D39" s="12"/>
      <c r="E39" s="12"/>
      <c r="F39" s="12"/>
    </row>
    <row r="40" spans="1:6" x14ac:dyDescent="0.3">
      <c r="B40" s="1" t="s">
        <v>28</v>
      </c>
    </row>
    <row r="41" spans="1:6" x14ac:dyDescent="0.3">
      <c r="B41" s="2" t="s">
        <v>29</v>
      </c>
    </row>
    <row r="42" spans="1:6" x14ac:dyDescent="0.3">
      <c r="B42" s="1" t="s">
        <v>30</v>
      </c>
    </row>
    <row r="43" spans="1:6" x14ac:dyDescent="0.3">
      <c r="B43" s="2" t="s">
        <v>31</v>
      </c>
    </row>
    <row r="44" spans="1:6" x14ac:dyDescent="0.3">
      <c r="B44" s="1" t="s">
        <v>32</v>
      </c>
    </row>
  </sheetData>
  <mergeCells count="8">
    <mergeCell ref="A31:F31"/>
    <mergeCell ref="A4:F4"/>
    <mergeCell ref="A39:F39"/>
    <mergeCell ref="A2:F2"/>
    <mergeCell ref="A16:F16"/>
    <mergeCell ref="A10:F10"/>
    <mergeCell ref="A1:F1"/>
    <mergeCell ref="A23:F2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P17"/>
  <sheetViews>
    <sheetView tabSelected="1" workbookViewId="0">
      <pane xSplit="1" ySplit="2" topLeftCell="F4" activePane="bottomRight" state="frozen"/>
      <selection pane="topRight"/>
      <selection pane="bottomLeft"/>
      <selection pane="bottomRight" activeCell="M8" sqref="M8"/>
    </sheetView>
  </sheetViews>
  <sheetFormatPr baseColWidth="10" defaultColWidth="8.88671875" defaultRowHeight="14.4" x14ac:dyDescent="0.3"/>
  <cols>
    <col min="1" max="1" width="12" customWidth="1"/>
    <col min="2" max="2" width="16" customWidth="1"/>
    <col min="3" max="3" width="18" customWidth="1"/>
    <col min="4" max="4" width="16" customWidth="1"/>
    <col min="5" max="5" width="35" customWidth="1"/>
    <col min="6" max="6" width="60" customWidth="1"/>
    <col min="7" max="7" width="14" customWidth="1"/>
    <col min="8" max="9" width="12" customWidth="1"/>
    <col min="10" max="10" width="14" customWidth="1"/>
    <col min="11" max="11" width="18" customWidth="1"/>
    <col min="12" max="12" width="14" customWidth="1"/>
    <col min="13" max="15" width="16" customWidth="1"/>
    <col min="16" max="16" width="48" customWidth="1"/>
  </cols>
  <sheetData>
    <row r="1" spans="1:16" ht="28.05" customHeight="1" x14ac:dyDescent="0.3">
      <c r="A1" s="15" t="s">
        <v>33</v>
      </c>
      <c r="B1" s="12"/>
      <c r="C1" s="12"/>
      <c r="D1" s="12"/>
      <c r="E1" s="12"/>
      <c r="F1" s="12"/>
      <c r="G1" s="12"/>
      <c r="H1" s="12"/>
      <c r="I1" s="12"/>
      <c r="J1" s="12"/>
      <c r="K1" s="12"/>
      <c r="L1" s="12"/>
      <c r="M1" s="12"/>
      <c r="N1" s="12"/>
      <c r="O1" s="12"/>
      <c r="P1" s="12"/>
    </row>
    <row r="2" spans="1:16" ht="22.05" customHeight="1" x14ac:dyDescent="0.3">
      <c r="A2" s="3" t="s">
        <v>34</v>
      </c>
      <c r="B2" s="3" t="s">
        <v>35</v>
      </c>
      <c r="C2" s="3" t="s">
        <v>36</v>
      </c>
      <c r="D2" s="3" t="s">
        <v>37</v>
      </c>
      <c r="E2" s="3" t="s">
        <v>38</v>
      </c>
      <c r="F2" s="3" t="s">
        <v>39</v>
      </c>
      <c r="G2" s="3" t="s">
        <v>40</v>
      </c>
      <c r="H2" s="3" t="s">
        <v>41</v>
      </c>
      <c r="I2" s="3" t="s">
        <v>42</v>
      </c>
      <c r="J2" s="3" t="s">
        <v>43</v>
      </c>
      <c r="K2" s="3" t="s">
        <v>44</v>
      </c>
      <c r="L2" s="3" t="s">
        <v>45</v>
      </c>
      <c r="M2" s="3" t="s">
        <v>46</v>
      </c>
      <c r="N2" s="3" t="s">
        <v>47</v>
      </c>
      <c r="O2" s="3" t="s">
        <v>48</v>
      </c>
      <c r="P2" s="3" t="s">
        <v>49</v>
      </c>
    </row>
    <row r="3" spans="1:16" ht="52.8" x14ac:dyDescent="0.3">
      <c r="A3" s="1" t="s">
        <v>50</v>
      </c>
      <c r="B3" s="1" t="s">
        <v>51</v>
      </c>
      <c r="C3" s="1" t="s">
        <v>22</v>
      </c>
      <c r="D3" s="1" t="s">
        <v>20</v>
      </c>
      <c r="E3" s="1" t="s">
        <v>52</v>
      </c>
      <c r="F3" s="1" t="s">
        <v>53</v>
      </c>
      <c r="G3" s="1" t="s">
        <v>4</v>
      </c>
      <c r="H3" s="1" t="s">
        <v>9</v>
      </c>
      <c r="I3" s="1" t="s">
        <v>15</v>
      </c>
      <c r="J3" s="1" t="s">
        <v>54</v>
      </c>
      <c r="K3" s="1" t="s">
        <v>55</v>
      </c>
      <c r="L3" s="1" t="s">
        <v>56</v>
      </c>
      <c r="M3" s="1" t="s">
        <v>57</v>
      </c>
      <c r="N3" s="1" t="s">
        <v>58</v>
      </c>
      <c r="O3" s="1" t="s">
        <v>59</v>
      </c>
      <c r="P3" s="1" t="s">
        <v>60</v>
      </c>
    </row>
    <row r="4" spans="1:16" ht="39.6" x14ac:dyDescent="0.3">
      <c r="A4" s="2" t="s">
        <v>61</v>
      </c>
      <c r="B4" s="2" t="s">
        <v>56</v>
      </c>
      <c r="C4" s="2" t="s">
        <v>22</v>
      </c>
      <c r="D4" s="2" t="s">
        <v>21</v>
      </c>
      <c r="E4" s="2" t="s">
        <v>62</v>
      </c>
      <c r="F4" s="2" t="s">
        <v>63</v>
      </c>
      <c r="G4" s="2" t="s">
        <v>3</v>
      </c>
      <c r="H4" s="2" t="s">
        <v>8</v>
      </c>
      <c r="I4" s="2" t="s">
        <v>15</v>
      </c>
      <c r="J4" s="2" t="s">
        <v>64</v>
      </c>
      <c r="K4" s="2" t="s">
        <v>55</v>
      </c>
      <c r="L4" s="2" t="s">
        <v>65</v>
      </c>
      <c r="M4" s="2" t="s">
        <v>66</v>
      </c>
      <c r="N4" s="2" t="s">
        <v>58</v>
      </c>
      <c r="O4" s="2" t="s">
        <v>59</v>
      </c>
      <c r="P4" s="2" t="s">
        <v>67</v>
      </c>
    </row>
    <row r="5" spans="1:16" ht="52.8" x14ac:dyDescent="0.3">
      <c r="A5" s="1" t="s">
        <v>68</v>
      </c>
      <c r="B5" s="1" t="s">
        <v>69</v>
      </c>
      <c r="C5" s="1" t="s">
        <v>22</v>
      </c>
      <c r="D5" s="1" t="s">
        <v>20</v>
      </c>
      <c r="E5" s="1" t="s">
        <v>70</v>
      </c>
      <c r="F5" s="1" t="s">
        <v>71</v>
      </c>
      <c r="G5" s="1" t="s">
        <v>3</v>
      </c>
      <c r="H5" s="1" t="s">
        <v>8</v>
      </c>
      <c r="I5" s="1" t="s">
        <v>15</v>
      </c>
      <c r="J5" s="1" t="s">
        <v>72</v>
      </c>
      <c r="K5" s="1" t="s">
        <v>73</v>
      </c>
      <c r="L5" s="1" t="s">
        <v>74</v>
      </c>
      <c r="M5" s="1" t="s">
        <v>75</v>
      </c>
      <c r="N5" s="1" t="s">
        <v>59</v>
      </c>
      <c r="O5" s="1" t="s">
        <v>76</v>
      </c>
      <c r="P5" s="1" t="s">
        <v>77</v>
      </c>
    </row>
    <row r="6" spans="1:16" ht="52.8" x14ac:dyDescent="0.3">
      <c r="A6" s="2" t="s">
        <v>78</v>
      </c>
      <c r="B6" s="2" t="s">
        <v>79</v>
      </c>
      <c r="C6" s="2" t="s">
        <v>22</v>
      </c>
      <c r="D6" s="2" t="s">
        <v>21</v>
      </c>
      <c r="E6" s="2" t="s">
        <v>80</v>
      </c>
      <c r="F6" s="2" t="s">
        <v>81</v>
      </c>
      <c r="G6" s="2" t="s">
        <v>4</v>
      </c>
      <c r="H6" s="2" t="s">
        <v>9</v>
      </c>
      <c r="I6" s="2" t="s">
        <v>15</v>
      </c>
      <c r="J6" s="2" t="s">
        <v>82</v>
      </c>
      <c r="K6" s="2" t="s">
        <v>83</v>
      </c>
      <c r="L6" s="2" t="s">
        <v>84</v>
      </c>
      <c r="M6" s="2" t="s">
        <v>85</v>
      </c>
      <c r="N6" s="2" t="s">
        <v>59</v>
      </c>
      <c r="O6" s="2" t="s">
        <v>86</v>
      </c>
      <c r="P6" s="2" t="s">
        <v>87</v>
      </c>
    </row>
    <row r="7" spans="1:16" ht="52.8" x14ac:dyDescent="0.3">
      <c r="A7" s="1" t="s">
        <v>88</v>
      </c>
      <c r="B7" s="1" t="s">
        <v>84</v>
      </c>
      <c r="C7" s="1" t="s">
        <v>22</v>
      </c>
      <c r="D7" s="1" t="s">
        <v>21</v>
      </c>
      <c r="E7" s="1" t="s">
        <v>89</v>
      </c>
      <c r="F7" s="1" t="s">
        <v>90</v>
      </c>
      <c r="G7" s="1" t="s">
        <v>4</v>
      </c>
      <c r="H7" s="1" t="s">
        <v>9</v>
      </c>
      <c r="I7" s="1" t="s">
        <v>15</v>
      </c>
      <c r="J7" s="1" t="s">
        <v>91</v>
      </c>
      <c r="K7" s="1" t="s">
        <v>55</v>
      </c>
      <c r="L7" s="1" t="s">
        <v>92</v>
      </c>
      <c r="M7" s="1" t="s">
        <v>93</v>
      </c>
      <c r="N7" s="1" t="s">
        <v>86</v>
      </c>
      <c r="O7" s="1" t="s">
        <v>94</v>
      </c>
      <c r="P7" s="1" t="s">
        <v>95</v>
      </c>
    </row>
    <row r="8" spans="1:16" ht="52.8" x14ac:dyDescent="0.3">
      <c r="A8" s="2" t="s">
        <v>96</v>
      </c>
      <c r="B8" s="2" t="s">
        <v>92</v>
      </c>
      <c r="C8" s="2" t="s">
        <v>22</v>
      </c>
      <c r="D8" s="2" t="s">
        <v>21</v>
      </c>
      <c r="E8" s="2" t="s">
        <v>97</v>
      </c>
      <c r="F8" s="2" t="s">
        <v>98</v>
      </c>
      <c r="G8" s="2" t="s">
        <v>4</v>
      </c>
      <c r="H8" s="2" t="s">
        <v>9</v>
      </c>
      <c r="I8" s="2" t="s">
        <v>15</v>
      </c>
      <c r="J8" s="2" t="s">
        <v>99</v>
      </c>
      <c r="K8" s="2" t="s">
        <v>55</v>
      </c>
      <c r="L8" s="2" t="s">
        <v>100</v>
      </c>
      <c r="M8" s="2" t="s">
        <v>240</v>
      </c>
      <c r="N8" s="2" t="s">
        <v>86</v>
      </c>
      <c r="O8" s="2"/>
      <c r="P8" s="2" t="s">
        <v>101</v>
      </c>
    </row>
    <row r="9" spans="1:16" ht="39.6" x14ac:dyDescent="0.3">
      <c r="A9" s="1" t="s">
        <v>102</v>
      </c>
      <c r="B9" s="1" t="s">
        <v>103</v>
      </c>
      <c r="C9" s="1" t="s">
        <v>23</v>
      </c>
      <c r="D9" s="1" t="s">
        <v>20</v>
      </c>
      <c r="E9" s="1" t="s">
        <v>104</v>
      </c>
      <c r="F9" s="1" t="s">
        <v>105</v>
      </c>
      <c r="G9" s="1" t="s">
        <v>5</v>
      </c>
      <c r="H9" s="1" t="s">
        <v>10</v>
      </c>
      <c r="I9" s="1" t="s">
        <v>15</v>
      </c>
      <c r="J9" s="1" t="s">
        <v>106</v>
      </c>
      <c r="K9" s="1" t="s">
        <v>55</v>
      </c>
      <c r="L9" s="1" t="s">
        <v>107</v>
      </c>
      <c r="M9" s="1" t="s">
        <v>103</v>
      </c>
      <c r="N9" s="1" t="s">
        <v>86</v>
      </c>
      <c r="O9" s="1" t="s">
        <v>108</v>
      </c>
      <c r="P9" s="1" t="s">
        <v>109</v>
      </c>
    </row>
    <row r="10" spans="1:16" ht="52.8" x14ac:dyDescent="0.3">
      <c r="A10" s="2" t="s">
        <v>110</v>
      </c>
      <c r="B10" s="2" t="s">
        <v>111</v>
      </c>
      <c r="C10" s="2" t="s">
        <v>23</v>
      </c>
      <c r="D10" s="2" t="s">
        <v>21</v>
      </c>
      <c r="E10" s="2" t="s">
        <v>112</v>
      </c>
      <c r="F10" s="2" t="s">
        <v>113</v>
      </c>
      <c r="G10" s="2" t="s">
        <v>3</v>
      </c>
      <c r="H10" s="2" t="s">
        <v>8</v>
      </c>
      <c r="I10" s="2" t="s">
        <v>13</v>
      </c>
      <c r="J10" s="2" t="s">
        <v>114</v>
      </c>
      <c r="K10" s="2" t="s">
        <v>73</v>
      </c>
      <c r="L10" s="2" t="s">
        <v>115</v>
      </c>
      <c r="M10" s="2"/>
      <c r="N10" s="2" t="s">
        <v>86</v>
      </c>
      <c r="O10" s="2"/>
      <c r="P10" s="2" t="s">
        <v>116</v>
      </c>
    </row>
    <row r="11" spans="1:16" ht="39.6" x14ac:dyDescent="0.3">
      <c r="A11" s="1" t="s">
        <v>117</v>
      </c>
      <c r="B11" s="1" t="s">
        <v>118</v>
      </c>
      <c r="C11" s="1" t="s">
        <v>23</v>
      </c>
      <c r="D11" s="1" t="s">
        <v>20</v>
      </c>
      <c r="E11" s="1" t="s">
        <v>119</v>
      </c>
      <c r="F11" s="1" t="s">
        <v>120</v>
      </c>
      <c r="G11" s="1" t="s">
        <v>4</v>
      </c>
      <c r="H11" s="1" t="s">
        <v>9</v>
      </c>
      <c r="I11" s="1" t="s">
        <v>13</v>
      </c>
      <c r="J11" s="1" t="s">
        <v>121</v>
      </c>
      <c r="K11" s="1" t="s">
        <v>83</v>
      </c>
      <c r="L11" s="1" t="s">
        <v>115</v>
      </c>
      <c r="M11" s="1"/>
      <c r="N11" s="1" t="s">
        <v>86</v>
      </c>
      <c r="O11" s="1"/>
      <c r="P11" s="1" t="s">
        <v>122</v>
      </c>
    </row>
    <row r="12" spans="1:16" ht="52.8" x14ac:dyDescent="0.3">
      <c r="A12" s="2" t="s">
        <v>123</v>
      </c>
      <c r="B12" s="2" t="s">
        <v>124</v>
      </c>
      <c r="C12" s="2" t="s">
        <v>23</v>
      </c>
      <c r="D12" s="2" t="s">
        <v>21</v>
      </c>
      <c r="E12" s="2" t="s">
        <v>125</v>
      </c>
      <c r="F12" s="2" t="s">
        <v>126</v>
      </c>
      <c r="G12" s="2" t="s">
        <v>4</v>
      </c>
      <c r="H12" s="2" t="s">
        <v>9</v>
      </c>
      <c r="I12" s="2" t="s">
        <v>13</v>
      </c>
      <c r="J12" s="2" t="s">
        <v>127</v>
      </c>
      <c r="K12" s="2" t="s">
        <v>73</v>
      </c>
      <c r="L12" s="2" t="s">
        <v>128</v>
      </c>
      <c r="M12" s="2"/>
      <c r="N12" s="2" t="s">
        <v>86</v>
      </c>
      <c r="O12" s="2"/>
      <c r="P12" s="2" t="s">
        <v>129</v>
      </c>
    </row>
    <row r="13" spans="1:16" ht="52.8" x14ac:dyDescent="0.3">
      <c r="A13" s="1" t="s">
        <v>130</v>
      </c>
      <c r="B13" s="1" t="s">
        <v>131</v>
      </c>
      <c r="C13" s="1" t="s">
        <v>23</v>
      </c>
      <c r="D13" s="1" t="s">
        <v>21</v>
      </c>
      <c r="E13" s="1" t="s">
        <v>132</v>
      </c>
      <c r="F13" s="1" t="s">
        <v>133</v>
      </c>
      <c r="G13" s="1" t="s">
        <v>5</v>
      </c>
      <c r="H13" s="1" t="s">
        <v>9</v>
      </c>
      <c r="I13" s="1" t="s">
        <v>13</v>
      </c>
      <c r="J13" s="1" t="s">
        <v>134</v>
      </c>
      <c r="K13" s="1" t="s">
        <v>55</v>
      </c>
      <c r="L13" s="1" t="s">
        <v>135</v>
      </c>
      <c r="M13" s="1"/>
      <c r="N13" s="1" t="s">
        <v>86</v>
      </c>
      <c r="O13" s="1"/>
      <c r="P13" s="1" t="s">
        <v>136</v>
      </c>
    </row>
    <row r="14" spans="1:16" ht="52.8" x14ac:dyDescent="0.3">
      <c r="A14" s="2" t="s">
        <v>137</v>
      </c>
      <c r="B14" s="2" t="s">
        <v>138</v>
      </c>
      <c r="C14" s="2" t="s">
        <v>23</v>
      </c>
      <c r="D14" s="2" t="s">
        <v>21</v>
      </c>
      <c r="E14" s="2" t="s">
        <v>139</v>
      </c>
      <c r="F14" s="2" t="s">
        <v>140</v>
      </c>
      <c r="G14" s="2" t="s">
        <v>4</v>
      </c>
      <c r="H14" s="2" t="s">
        <v>9</v>
      </c>
      <c r="I14" s="2" t="s">
        <v>13</v>
      </c>
      <c r="J14" s="2" t="s">
        <v>141</v>
      </c>
      <c r="K14" s="2" t="s">
        <v>55</v>
      </c>
      <c r="L14" s="2" t="s">
        <v>142</v>
      </c>
      <c r="M14" s="2"/>
      <c r="N14" s="2" t="s">
        <v>86</v>
      </c>
      <c r="O14" s="2"/>
      <c r="P14" s="2" t="s">
        <v>143</v>
      </c>
    </row>
    <row r="15" spans="1:16" ht="52.8" x14ac:dyDescent="0.3">
      <c r="A15" s="1" t="s">
        <v>144</v>
      </c>
      <c r="B15" s="1" t="s">
        <v>100</v>
      </c>
      <c r="C15" s="1" t="s">
        <v>23</v>
      </c>
      <c r="D15" s="1" t="s">
        <v>20</v>
      </c>
      <c r="E15" s="1" t="s">
        <v>145</v>
      </c>
      <c r="F15" s="1" t="s">
        <v>146</v>
      </c>
      <c r="G15" s="1" t="s">
        <v>5</v>
      </c>
      <c r="H15" s="1" t="s">
        <v>9</v>
      </c>
      <c r="I15" s="1" t="s">
        <v>13</v>
      </c>
      <c r="J15" s="1" t="s">
        <v>91</v>
      </c>
      <c r="K15" s="1" t="s">
        <v>55</v>
      </c>
      <c r="L15" s="1" t="s">
        <v>147</v>
      </c>
      <c r="M15" s="1"/>
      <c r="N15" s="1" t="s">
        <v>86</v>
      </c>
      <c r="O15" s="1"/>
      <c r="P15" s="1" t="s">
        <v>148</v>
      </c>
    </row>
    <row r="16" spans="1:16" ht="52.8" x14ac:dyDescent="0.3">
      <c r="A16" s="2" t="s">
        <v>149</v>
      </c>
      <c r="B16" s="2" t="s">
        <v>115</v>
      </c>
      <c r="C16" s="2" t="s">
        <v>22</v>
      </c>
      <c r="D16" s="2" t="s">
        <v>21</v>
      </c>
      <c r="E16" s="2" t="s">
        <v>150</v>
      </c>
      <c r="F16" s="2" t="s">
        <v>151</v>
      </c>
      <c r="G16" s="2" t="s">
        <v>4</v>
      </c>
      <c r="H16" s="2" t="s">
        <v>9</v>
      </c>
      <c r="I16" s="2" t="s">
        <v>13</v>
      </c>
      <c r="J16" s="2" t="s">
        <v>152</v>
      </c>
      <c r="K16" s="2" t="s">
        <v>55</v>
      </c>
      <c r="L16" s="2" t="s">
        <v>128</v>
      </c>
      <c r="M16" s="2"/>
      <c r="N16" s="2" t="s">
        <v>86</v>
      </c>
      <c r="O16" s="2"/>
      <c r="P16" s="2" t="s">
        <v>153</v>
      </c>
    </row>
    <row r="17" spans="1:16" ht="52.8" x14ac:dyDescent="0.3">
      <c r="A17" s="1" t="s">
        <v>154</v>
      </c>
      <c r="B17" s="1" t="s">
        <v>115</v>
      </c>
      <c r="C17" s="1" t="s">
        <v>22</v>
      </c>
      <c r="D17" s="1" t="s">
        <v>20</v>
      </c>
      <c r="E17" s="1" t="s">
        <v>155</v>
      </c>
      <c r="F17" s="1" t="s">
        <v>156</v>
      </c>
      <c r="G17" s="1" t="s">
        <v>4</v>
      </c>
      <c r="H17" s="1" t="s">
        <v>9</v>
      </c>
      <c r="I17" s="1" t="s">
        <v>13</v>
      </c>
      <c r="J17" s="1" t="s">
        <v>157</v>
      </c>
      <c r="K17" s="1" t="s">
        <v>73</v>
      </c>
      <c r="L17" s="1" t="s">
        <v>158</v>
      </c>
      <c r="M17" s="1"/>
      <c r="N17" s="1" t="s">
        <v>86</v>
      </c>
      <c r="O17" s="1"/>
      <c r="P17" s="1" t="s">
        <v>159</v>
      </c>
    </row>
  </sheetData>
  <autoFilter ref="A1:P17" xr:uid="{00000000-0009-0000-0000-000001000000}"/>
  <mergeCells count="1">
    <mergeCell ref="A1:P1"/>
  </mergeCells>
  <conditionalFormatting sqref="G3:G48">
    <cfRule type="cellIs" dxfId="8" priority="6" operator="equal">
      <formula>"Bloquant"</formula>
    </cfRule>
    <cfRule type="cellIs" dxfId="7" priority="7" operator="equal">
      <formula>"Majeur"</formula>
    </cfRule>
    <cfRule type="cellIs" dxfId="6" priority="8" operator="equal">
      <formula>"Mineur"</formula>
    </cfRule>
    <cfRule type="cellIs" dxfId="5" priority="9" operator="equal">
      <formula>"Cosmétique"</formula>
    </cfRule>
  </conditionalFormatting>
  <conditionalFormatting sqref="I3:I48">
    <cfRule type="cellIs" dxfId="4" priority="1" operator="equal">
      <formula>"Résolu"</formula>
    </cfRule>
    <cfRule type="cellIs" dxfId="3" priority="2" operator="equal">
      <formula>"Fermé"</formula>
    </cfRule>
    <cfRule type="cellIs" dxfId="2" priority="3" operator="equal">
      <formula>"Ouvert"</formula>
    </cfRule>
    <cfRule type="cellIs" dxfId="1" priority="4" operator="equal">
      <formula>"En cours"</formula>
    </cfRule>
    <cfRule type="cellIs" dxfId="0" priority="5" operator="equal">
      <formula>"Rejeté"</formula>
    </cfRule>
  </conditionalFormatting>
  <dataValidations count="5">
    <dataValidation type="list" allowBlank="1" showInputMessage="1" showErrorMessage="1" errorTitle="Erreur" error="Valeur non autorisée" sqref="C3:C48" xr:uid="{00000000-0002-0000-0100-000000000000}">
      <formula1>"Définition,Conception,Réalisation,Tests,Recette,Déploiement"</formula1>
    </dataValidation>
    <dataValidation type="list" allowBlank="1" showInputMessage="1" showErrorMessage="1" errorTitle="Erreur" error="Valeur non autorisée" sqref="D3:D48" xr:uid="{00000000-0002-0000-0100-000001000000}">
      <formula1>"Définition,Conception,Réalisation,Tests,Recette,Inconnu"</formula1>
    </dataValidation>
    <dataValidation type="list" allowBlank="1" showInputMessage="1" showErrorMessage="1" errorTitle="Erreur" error="Valeur non autorisée" sqref="G3:G48" xr:uid="{00000000-0002-0000-0100-000002000000}">
      <formula1>"Bloquant,Majeur,Mineur,Cosmétique"</formula1>
    </dataValidation>
    <dataValidation type="list" allowBlank="1" showInputMessage="1" showErrorMessage="1" errorTitle="Erreur" error="Valeur non autorisée" sqref="H3:H48" xr:uid="{00000000-0002-0000-0100-000003000000}">
      <formula1>"Critique,Haute,Moyenne,Faible"</formula1>
    </dataValidation>
    <dataValidation type="list" allowBlank="1" showInputMessage="1" showErrorMessage="1" errorTitle="Erreur" error="Valeur non autorisée" sqref="I3:I48" xr:uid="{00000000-0002-0000-0100-000004000000}">
      <formula1>"Ouvert,En cours,Résolu,Fermé,Rejeté"</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K10"/>
  <sheetViews>
    <sheetView workbookViewId="0">
      <pane ySplit="3" topLeftCell="A4" activePane="bottomLeft" state="frozen"/>
      <selection pane="bottomLeft" activeCell="B10" sqref="B10"/>
    </sheetView>
  </sheetViews>
  <sheetFormatPr baseColWidth="10" defaultColWidth="8.88671875" defaultRowHeight="14.4" x14ac:dyDescent="0.3"/>
  <cols>
    <col min="1" max="1" width="22" customWidth="1"/>
    <col min="2" max="2" width="10" customWidth="1"/>
    <col min="3" max="7" width="12" customWidth="1"/>
    <col min="8" max="8" width="14" customWidth="1"/>
    <col min="9" max="11" width="12" customWidth="1"/>
  </cols>
  <sheetData>
    <row r="1" spans="1:11" ht="28.05" customHeight="1" x14ac:dyDescent="0.3">
      <c r="A1" s="14" t="s">
        <v>160</v>
      </c>
      <c r="B1" s="12"/>
      <c r="C1" s="12"/>
      <c r="D1" s="12"/>
      <c r="E1" s="12"/>
      <c r="F1" s="12"/>
      <c r="G1" s="12"/>
      <c r="H1" s="12"/>
      <c r="I1" s="12"/>
      <c r="J1" s="12"/>
      <c r="K1" s="12"/>
    </row>
    <row r="2" spans="1:11" x14ac:dyDescent="0.3">
      <c r="A2" s="11" t="s">
        <v>161</v>
      </c>
      <c r="B2" s="12"/>
      <c r="C2" s="12"/>
      <c r="D2" s="12"/>
      <c r="E2" s="12"/>
      <c r="F2" s="12"/>
      <c r="G2" s="12"/>
      <c r="H2" s="12"/>
      <c r="I2" s="12"/>
      <c r="J2" s="12"/>
      <c r="K2" s="12"/>
    </row>
    <row r="3" spans="1:11" ht="22.05" customHeight="1" x14ac:dyDescent="0.3">
      <c r="A3" s="3" t="s">
        <v>162</v>
      </c>
      <c r="B3" s="3" t="s">
        <v>163</v>
      </c>
      <c r="C3" s="3" t="s">
        <v>164</v>
      </c>
      <c r="D3" s="3" t="s">
        <v>14</v>
      </c>
      <c r="E3" s="3" t="s">
        <v>165</v>
      </c>
      <c r="F3" s="3" t="s">
        <v>166</v>
      </c>
      <c r="G3" s="3" t="s">
        <v>167</v>
      </c>
      <c r="H3" s="3" t="s">
        <v>168</v>
      </c>
      <c r="I3" s="3" t="s">
        <v>169</v>
      </c>
      <c r="J3" s="3" t="s">
        <v>170</v>
      </c>
      <c r="K3" s="3" t="s">
        <v>171</v>
      </c>
    </row>
    <row r="4" spans="1:11" x14ac:dyDescent="0.3">
      <c r="A4" s="4" t="s">
        <v>19</v>
      </c>
      <c r="B4" s="4">
        <f>COUNTIF('01_ANOMALIES'!$C$3:$C$200,"Définition")</f>
        <v>0</v>
      </c>
      <c r="C4" s="4">
        <f>COUNTIFS('01_ANOMALIES'!$C$3:$C$200,"Définition",'01_ANOMALIES'!$I$3:$I$200,"Ouvert")</f>
        <v>0</v>
      </c>
      <c r="D4" s="4">
        <f>COUNTIFS('01_ANOMALIES'!$C$3:$C$200,"Définition",'01_ANOMALIES'!$I$3:$I$200,"En cours")</f>
        <v>0</v>
      </c>
      <c r="E4" s="4">
        <f>COUNTIFS('01_ANOMALIES'!$C$3:$C$200,"Définition",'01_ANOMALIES'!$I$3:$I$200,"Résolu")</f>
        <v>0</v>
      </c>
      <c r="F4" s="4">
        <f>COUNTIFS('01_ANOMALIES'!$C$3:$C$200,"Définition",'01_ANOMALIES'!$I$3:$I$200,"Fermé")</f>
        <v>0</v>
      </c>
      <c r="G4" s="4">
        <f>COUNTIFS('01_ANOMALIES'!$C$3:$C$200,"Définition",'01_ANOMALIES'!$I$3:$I$200,"Rejeté")</f>
        <v>0</v>
      </c>
      <c r="H4" s="4">
        <f>COUNTIFS('01_ANOMALIES'!$C$3:$C$200,"Définition",'01_ANOMALIES'!$G$3:$G$200,"Bloquant")</f>
        <v>0</v>
      </c>
      <c r="I4" s="4">
        <f>COUNTIFS('01_ANOMALIES'!$C$3:$C$200,"Définition",'01_ANOMALIES'!$G$3:$G$200,"Majeur")</f>
        <v>0</v>
      </c>
      <c r="J4" s="4">
        <f>COUNTIFS('01_ANOMALIES'!$C$3:$C$200,"Définition",'01_ANOMALIES'!$G$3:$G$200,"Mineur")</f>
        <v>0</v>
      </c>
      <c r="K4" s="5">
        <f t="shared" ref="K4:K10" si="0">IF(B4=0,0,(E4+F4)/B4)</f>
        <v>0</v>
      </c>
    </row>
    <row r="5" spans="1:11" x14ac:dyDescent="0.3">
      <c r="A5" s="6" t="s">
        <v>20</v>
      </c>
      <c r="B5" s="6">
        <f>COUNTIF('01_ANOMALIES'!$C$3:$C$200,"Conception")</f>
        <v>0</v>
      </c>
      <c r="C5" s="6">
        <f>COUNTIFS('01_ANOMALIES'!$C$3:$C$200,"Conception",'01_ANOMALIES'!$I$3:$I$200,"Ouvert")</f>
        <v>0</v>
      </c>
      <c r="D5" s="6">
        <f>COUNTIFS('01_ANOMALIES'!$C$3:$C$200,"Conception",'01_ANOMALIES'!$I$3:$I$200,"En cours")</f>
        <v>0</v>
      </c>
      <c r="E5" s="6">
        <f>COUNTIFS('01_ANOMALIES'!$C$3:$C$200,"Conception",'01_ANOMALIES'!$I$3:$I$200,"Résolu")</f>
        <v>0</v>
      </c>
      <c r="F5" s="6">
        <f>COUNTIFS('01_ANOMALIES'!$C$3:$C$200,"Conception",'01_ANOMALIES'!$I$3:$I$200,"Fermé")</f>
        <v>0</v>
      </c>
      <c r="G5" s="6">
        <f>COUNTIFS('01_ANOMALIES'!$C$3:$C$200,"Conception",'01_ANOMALIES'!$I$3:$I$200,"Rejeté")</f>
        <v>0</v>
      </c>
      <c r="H5" s="6">
        <f>COUNTIFS('01_ANOMALIES'!$C$3:$C$200,"Conception",'01_ANOMALIES'!$G$3:$G$200,"Bloquant")</f>
        <v>0</v>
      </c>
      <c r="I5" s="6">
        <f>COUNTIFS('01_ANOMALIES'!$C$3:$C$200,"Conception",'01_ANOMALIES'!$G$3:$G$200,"Majeur")</f>
        <v>0</v>
      </c>
      <c r="J5" s="6">
        <f>COUNTIFS('01_ANOMALIES'!$C$3:$C$200,"Conception",'01_ANOMALIES'!$G$3:$G$200,"Mineur")</f>
        <v>0</v>
      </c>
      <c r="K5" s="7">
        <f t="shared" si="0"/>
        <v>0</v>
      </c>
    </row>
    <row r="6" spans="1:11" x14ac:dyDescent="0.3">
      <c r="A6" s="4" t="s">
        <v>21</v>
      </c>
      <c r="B6" s="4">
        <f>COUNTIF('01_ANOMALIES'!$C$3:$C$200,"Réalisation")</f>
        <v>0</v>
      </c>
      <c r="C6" s="4">
        <f>COUNTIFS('01_ANOMALIES'!$C$3:$C$200,"Réalisation",'01_ANOMALIES'!$I$3:$I$200,"Ouvert")</f>
        <v>0</v>
      </c>
      <c r="D6" s="4">
        <f>COUNTIFS('01_ANOMALIES'!$C$3:$C$200,"Réalisation",'01_ANOMALIES'!$I$3:$I$200,"En cours")</f>
        <v>0</v>
      </c>
      <c r="E6" s="4">
        <f>COUNTIFS('01_ANOMALIES'!$C$3:$C$200,"Réalisation",'01_ANOMALIES'!$I$3:$I$200,"Résolu")</f>
        <v>0</v>
      </c>
      <c r="F6" s="4">
        <f>COUNTIFS('01_ANOMALIES'!$C$3:$C$200,"Réalisation",'01_ANOMALIES'!$I$3:$I$200,"Fermé")</f>
        <v>0</v>
      </c>
      <c r="G6" s="4">
        <f>COUNTIFS('01_ANOMALIES'!$C$3:$C$200,"Réalisation",'01_ANOMALIES'!$I$3:$I$200,"Rejeté")</f>
        <v>0</v>
      </c>
      <c r="H6" s="4">
        <f>COUNTIFS('01_ANOMALIES'!$C$3:$C$200,"Réalisation",'01_ANOMALIES'!$G$3:$G$200,"Bloquant")</f>
        <v>0</v>
      </c>
      <c r="I6" s="4">
        <f>COUNTIFS('01_ANOMALIES'!$C$3:$C$200,"Réalisation",'01_ANOMALIES'!$G$3:$G$200,"Majeur")</f>
        <v>0</v>
      </c>
      <c r="J6" s="4">
        <f>COUNTIFS('01_ANOMALIES'!$C$3:$C$200,"Réalisation",'01_ANOMALIES'!$G$3:$G$200,"Mineur")</f>
        <v>0</v>
      </c>
      <c r="K6" s="5">
        <f t="shared" si="0"/>
        <v>0</v>
      </c>
    </row>
    <row r="7" spans="1:11" x14ac:dyDescent="0.3">
      <c r="A7" s="6" t="s">
        <v>22</v>
      </c>
      <c r="B7" s="6">
        <f>COUNTIF('01_ANOMALIES'!$C$3:$C$200,"Tests")</f>
        <v>8</v>
      </c>
      <c r="C7" s="6">
        <f>COUNTIFS('01_ANOMALIES'!$C$3:$C$200,"Tests",'01_ANOMALIES'!$I$3:$I$200,"Ouvert")</f>
        <v>2</v>
      </c>
      <c r="D7" s="6">
        <f>COUNTIFS('01_ANOMALIES'!$C$3:$C$200,"Tests",'01_ANOMALIES'!$I$3:$I$200,"En cours")</f>
        <v>0</v>
      </c>
      <c r="E7" s="6">
        <f>COUNTIFS('01_ANOMALIES'!$C$3:$C$200,"Tests",'01_ANOMALIES'!$I$3:$I$200,"Résolu")</f>
        <v>6</v>
      </c>
      <c r="F7" s="6">
        <f>COUNTIFS('01_ANOMALIES'!$C$3:$C$200,"Tests",'01_ANOMALIES'!$I$3:$I$200,"Fermé")</f>
        <v>0</v>
      </c>
      <c r="G7" s="6">
        <f>COUNTIFS('01_ANOMALIES'!$C$3:$C$200,"Tests",'01_ANOMALIES'!$I$3:$I$200,"Rejeté")</f>
        <v>0</v>
      </c>
      <c r="H7" s="6">
        <f>COUNTIFS('01_ANOMALIES'!$C$3:$C$200,"Tests",'01_ANOMALIES'!$G$3:$G$200,"Bloquant")</f>
        <v>2</v>
      </c>
      <c r="I7" s="6">
        <f>COUNTIFS('01_ANOMALIES'!$C$3:$C$200,"Tests",'01_ANOMALIES'!$G$3:$G$200,"Majeur")</f>
        <v>6</v>
      </c>
      <c r="J7" s="6">
        <f>COUNTIFS('01_ANOMALIES'!$C$3:$C$200,"Tests",'01_ANOMALIES'!$G$3:$G$200,"Mineur")</f>
        <v>0</v>
      </c>
      <c r="K7" s="7">
        <f t="shared" si="0"/>
        <v>0.75</v>
      </c>
    </row>
    <row r="8" spans="1:11" x14ac:dyDescent="0.3">
      <c r="A8" s="4" t="s">
        <v>23</v>
      </c>
      <c r="B8" s="4">
        <f>COUNTIF('01_ANOMALIES'!$C$3:$C$200,"Recette")</f>
        <v>7</v>
      </c>
      <c r="C8" s="4">
        <f>COUNTIFS('01_ANOMALIES'!$C$3:$C$200,"Recette",'01_ANOMALIES'!$I$3:$I$200,"Ouvert")</f>
        <v>6</v>
      </c>
      <c r="D8" s="4">
        <f>COUNTIFS('01_ANOMALIES'!$C$3:$C$200,"Recette",'01_ANOMALIES'!$I$3:$I$200,"En cours")</f>
        <v>0</v>
      </c>
      <c r="E8" s="4">
        <f>COUNTIFS('01_ANOMALIES'!$C$3:$C$200,"Recette",'01_ANOMALIES'!$I$3:$I$200,"Résolu")</f>
        <v>1</v>
      </c>
      <c r="F8" s="4">
        <f>COUNTIFS('01_ANOMALIES'!$C$3:$C$200,"Recette",'01_ANOMALIES'!$I$3:$I$200,"Fermé")</f>
        <v>0</v>
      </c>
      <c r="G8" s="4">
        <f>COUNTIFS('01_ANOMALIES'!$C$3:$C$200,"Recette",'01_ANOMALIES'!$I$3:$I$200,"Rejeté")</f>
        <v>0</v>
      </c>
      <c r="H8" s="4">
        <f>COUNTIFS('01_ANOMALIES'!$C$3:$C$200,"Recette",'01_ANOMALIES'!$G$3:$G$200,"Bloquant")</f>
        <v>1</v>
      </c>
      <c r="I8" s="4">
        <f>COUNTIFS('01_ANOMALIES'!$C$3:$C$200,"Recette",'01_ANOMALIES'!$G$3:$G$200,"Majeur")</f>
        <v>3</v>
      </c>
      <c r="J8" s="4">
        <f>COUNTIFS('01_ANOMALIES'!$C$3:$C$200,"Recette",'01_ANOMALIES'!$G$3:$G$200,"Mineur")</f>
        <v>3</v>
      </c>
      <c r="K8" s="5">
        <f t="shared" si="0"/>
        <v>0.14285714285714285</v>
      </c>
    </row>
    <row r="9" spans="1:11" x14ac:dyDescent="0.3">
      <c r="A9" s="6" t="s">
        <v>24</v>
      </c>
      <c r="B9" s="6">
        <f>COUNTIF('01_ANOMALIES'!$C$3:$C$200,"Déploiement")</f>
        <v>0</v>
      </c>
      <c r="C9" s="6">
        <f>COUNTIFS('01_ANOMALIES'!$C$3:$C$200,"Déploiement",'01_ANOMALIES'!$I$3:$I$200,"Ouvert")</f>
        <v>0</v>
      </c>
      <c r="D9" s="6">
        <f>COUNTIFS('01_ANOMALIES'!$C$3:$C$200,"Déploiement",'01_ANOMALIES'!$I$3:$I$200,"En cours")</f>
        <v>0</v>
      </c>
      <c r="E9" s="6">
        <f>COUNTIFS('01_ANOMALIES'!$C$3:$C$200,"Déploiement",'01_ANOMALIES'!$I$3:$I$200,"Résolu")</f>
        <v>0</v>
      </c>
      <c r="F9" s="6">
        <f>COUNTIFS('01_ANOMALIES'!$C$3:$C$200,"Déploiement",'01_ANOMALIES'!$I$3:$I$200,"Fermé")</f>
        <v>0</v>
      </c>
      <c r="G9" s="6">
        <f>COUNTIFS('01_ANOMALIES'!$C$3:$C$200,"Déploiement",'01_ANOMALIES'!$I$3:$I$200,"Rejeté")</f>
        <v>0</v>
      </c>
      <c r="H9" s="6">
        <f>COUNTIFS('01_ANOMALIES'!$C$3:$C$200,"Déploiement",'01_ANOMALIES'!$G$3:$G$200,"Bloquant")</f>
        <v>0</v>
      </c>
      <c r="I9" s="6">
        <f>COUNTIFS('01_ANOMALIES'!$C$3:$C$200,"Déploiement",'01_ANOMALIES'!$G$3:$G$200,"Majeur")</f>
        <v>0</v>
      </c>
      <c r="J9" s="6">
        <f>COUNTIFS('01_ANOMALIES'!$C$3:$C$200,"Déploiement",'01_ANOMALIES'!$G$3:$G$200,"Mineur")</f>
        <v>0</v>
      </c>
      <c r="K9" s="7">
        <f t="shared" si="0"/>
        <v>0</v>
      </c>
    </row>
    <row r="10" spans="1:11" x14ac:dyDescent="0.3">
      <c r="A10" s="8" t="s">
        <v>172</v>
      </c>
      <c r="B10" s="8">
        <f t="shared" ref="B10:J10" si="1">SUM(B4:B9)</f>
        <v>15</v>
      </c>
      <c r="C10" s="8">
        <f t="shared" si="1"/>
        <v>8</v>
      </c>
      <c r="D10" s="8">
        <f t="shared" si="1"/>
        <v>0</v>
      </c>
      <c r="E10" s="8">
        <f t="shared" si="1"/>
        <v>7</v>
      </c>
      <c r="F10" s="8">
        <f t="shared" si="1"/>
        <v>0</v>
      </c>
      <c r="G10" s="8">
        <f t="shared" si="1"/>
        <v>0</v>
      </c>
      <c r="H10" s="8">
        <f t="shared" si="1"/>
        <v>3</v>
      </c>
      <c r="I10" s="8">
        <f t="shared" si="1"/>
        <v>9</v>
      </c>
      <c r="J10" s="8">
        <f t="shared" si="1"/>
        <v>3</v>
      </c>
      <c r="K10" s="9">
        <f t="shared" si="0"/>
        <v>0.46666666666666667</v>
      </c>
    </row>
  </sheetData>
  <mergeCells count="2">
    <mergeCell ref="A2:K2"/>
    <mergeCell ref="A1:K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G30"/>
  <sheetViews>
    <sheetView workbookViewId="0">
      <pane ySplit="3" topLeftCell="A4" activePane="bottomLeft" state="frozen"/>
      <selection pane="bottomLeft"/>
    </sheetView>
  </sheetViews>
  <sheetFormatPr baseColWidth="10" defaultColWidth="8.88671875" defaultRowHeight="14.4" x14ac:dyDescent="0.3"/>
  <cols>
    <col min="1" max="1" width="20" customWidth="1"/>
    <col min="2" max="2" width="12" customWidth="1"/>
    <col min="3" max="4" width="16" customWidth="1"/>
    <col min="5" max="5" width="18" customWidth="1"/>
    <col min="6" max="6" width="12" customWidth="1"/>
    <col min="7" max="7" width="65" customWidth="1"/>
  </cols>
  <sheetData>
    <row r="1" spans="1:7" ht="28.05" customHeight="1" x14ac:dyDescent="0.3">
      <c r="A1" s="16" t="s">
        <v>173</v>
      </c>
      <c r="B1" s="12"/>
      <c r="C1" s="12"/>
      <c r="D1" s="12"/>
      <c r="E1" s="12"/>
      <c r="F1" s="12"/>
      <c r="G1" s="12"/>
    </row>
    <row r="2" spans="1:7" x14ac:dyDescent="0.3">
      <c r="A2" s="11" t="s">
        <v>174</v>
      </c>
      <c r="B2" s="12"/>
      <c r="C2" s="12"/>
      <c r="D2" s="12"/>
      <c r="E2" s="12"/>
      <c r="F2" s="12"/>
      <c r="G2" s="12"/>
    </row>
    <row r="3" spans="1:7" ht="22.05" customHeight="1" x14ac:dyDescent="0.3">
      <c r="A3" s="10" t="s">
        <v>175</v>
      </c>
      <c r="B3" s="10" t="s">
        <v>34</v>
      </c>
      <c r="C3" s="10" t="s">
        <v>176</v>
      </c>
      <c r="D3" s="10" t="s">
        <v>177</v>
      </c>
      <c r="E3" s="10" t="s">
        <v>178</v>
      </c>
      <c r="F3" s="10" t="s">
        <v>179</v>
      </c>
      <c r="G3" s="10" t="s">
        <v>180</v>
      </c>
    </row>
    <row r="4" spans="1:7" x14ac:dyDescent="0.3">
      <c r="A4" s="1" t="s">
        <v>181</v>
      </c>
      <c r="B4" s="1" t="s">
        <v>50</v>
      </c>
      <c r="C4" s="1" t="s">
        <v>182</v>
      </c>
      <c r="D4" s="1" t="s">
        <v>13</v>
      </c>
      <c r="E4" s="1" t="s">
        <v>183</v>
      </c>
      <c r="F4" s="1" t="s">
        <v>58</v>
      </c>
      <c r="G4" s="1" t="s">
        <v>184</v>
      </c>
    </row>
    <row r="5" spans="1:7" x14ac:dyDescent="0.3">
      <c r="A5" s="2" t="s">
        <v>185</v>
      </c>
      <c r="B5" s="2" t="s">
        <v>50</v>
      </c>
      <c r="C5" s="2" t="s">
        <v>13</v>
      </c>
      <c r="D5" s="2" t="s">
        <v>14</v>
      </c>
      <c r="E5" s="2" t="s">
        <v>183</v>
      </c>
      <c r="F5" s="2" t="s">
        <v>58</v>
      </c>
      <c r="G5" s="2" t="s">
        <v>186</v>
      </c>
    </row>
    <row r="6" spans="1:7" x14ac:dyDescent="0.3">
      <c r="A6" s="1" t="s">
        <v>187</v>
      </c>
      <c r="B6" s="1" t="s">
        <v>50</v>
      </c>
      <c r="C6" s="1" t="s">
        <v>14</v>
      </c>
      <c r="D6" s="1" t="s">
        <v>15</v>
      </c>
      <c r="E6" s="1" t="s">
        <v>183</v>
      </c>
      <c r="F6" s="1" t="s">
        <v>59</v>
      </c>
      <c r="G6" s="1" t="s">
        <v>188</v>
      </c>
    </row>
    <row r="7" spans="1:7" x14ac:dyDescent="0.3">
      <c r="A7" s="2" t="s">
        <v>189</v>
      </c>
      <c r="B7" s="2" t="s">
        <v>61</v>
      </c>
      <c r="C7" s="2" t="s">
        <v>182</v>
      </c>
      <c r="D7" s="2" t="s">
        <v>13</v>
      </c>
      <c r="E7" s="2" t="s">
        <v>183</v>
      </c>
      <c r="F7" s="2" t="s">
        <v>58</v>
      </c>
      <c r="G7" s="2" t="s">
        <v>190</v>
      </c>
    </row>
    <row r="8" spans="1:7" x14ac:dyDescent="0.3">
      <c r="A8" s="1" t="s">
        <v>191</v>
      </c>
      <c r="B8" s="1" t="s">
        <v>61</v>
      </c>
      <c r="C8" s="1" t="s">
        <v>13</v>
      </c>
      <c r="D8" s="1" t="s">
        <v>14</v>
      </c>
      <c r="E8" s="1" t="s">
        <v>192</v>
      </c>
      <c r="F8" s="1" t="s">
        <v>58</v>
      </c>
      <c r="G8" s="1" t="s">
        <v>193</v>
      </c>
    </row>
    <row r="9" spans="1:7" x14ac:dyDescent="0.3">
      <c r="A9" s="2" t="s">
        <v>194</v>
      </c>
      <c r="B9" s="2" t="s">
        <v>61</v>
      </c>
      <c r="C9" s="2" t="s">
        <v>14</v>
      </c>
      <c r="D9" s="2" t="s">
        <v>15</v>
      </c>
      <c r="E9" s="2" t="s">
        <v>183</v>
      </c>
      <c r="F9" s="2" t="s">
        <v>59</v>
      </c>
      <c r="G9" s="2" t="s">
        <v>195</v>
      </c>
    </row>
    <row r="10" spans="1:7" x14ac:dyDescent="0.3">
      <c r="A10" s="1" t="s">
        <v>196</v>
      </c>
      <c r="B10" s="1" t="s">
        <v>68</v>
      </c>
      <c r="C10" s="1" t="s">
        <v>182</v>
      </c>
      <c r="D10" s="1" t="s">
        <v>13</v>
      </c>
      <c r="E10" s="1" t="s">
        <v>192</v>
      </c>
      <c r="F10" s="1" t="s">
        <v>59</v>
      </c>
      <c r="G10" s="1" t="s">
        <v>197</v>
      </c>
    </row>
    <row r="11" spans="1:7" x14ac:dyDescent="0.3">
      <c r="A11" s="2" t="s">
        <v>198</v>
      </c>
      <c r="B11" s="2" t="s">
        <v>68</v>
      </c>
      <c r="C11" s="2" t="s">
        <v>13</v>
      </c>
      <c r="D11" s="2" t="s">
        <v>14</v>
      </c>
      <c r="E11" s="2" t="s">
        <v>192</v>
      </c>
      <c r="F11" s="2" t="s">
        <v>59</v>
      </c>
      <c r="G11" s="2" t="s">
        <v>199</v>
      </c>
    </row>
    <row r="12" spans="1:7" x14ac:dyDescent="0.3">
      <c r="A12" s="1" t="s">
        <v>200</v>
      </c>
      <c r="B12" s="1" t="s">
        <v>68</v>
      </c>
      <c r="C12" s="1" t="s">
        <v>14</v>
      </c>
      <c r="D12" s="1" t="s">
        <v>15</v>
      </c>
      <c r="E12" s="1" t="s">
        <v>192</v>
      </c>
      <c r="F12" s="1" t="s">
        <v>76</v>
      </c>
      <c r="G12" s="1" t="s">
        <v>201</v>
      </c>
    </row>
    <row r="13" spans="1:7" x14ac:dyDescent="0.3">
      <c r="A13" s="2" t="s">
        <v>202</v>
      </c>
      <c r="B13" s="2" t="s">
        <v>78</v>
      </c>
      <c r="C13" s="2" t="s">
        <v>182</v>
      </c>
      <c r="D13" s="2" t="s">
        <v>13</v>
      </c>
      <c r="E13" s="2" t="s">
        <v>203</v>
      </c>
      <c r="F13" s="2" t="s">
        <v>59</v>
      </c>
      <c r="G13" s="2" t="s">
        <v>204</v>
      </c>
    </row>
    <row r="14" spans="1:7" x14ac:dyDescent="0.3">
      <c r="A14" s="1" t="s">
        <v>205</v>
      </c>
      <c r="B14" s="1" t="s">
        <v>78</v>
      </c>
      <c r="C14" s="1" t="s">
        <v>13</v>
      </c>
      <c r="D14" s="1" t="s">
        <v>14</v>
      </c>
      <c r="E14" s="1" t="s">
        <v>203</v>
      </c>
      <c r="F14" s="1" t="s">
        <v>59</v>
      </c>
      <c r="G14" s="1" t="s">
        <v>206</v>
      </c>
    </row>
    <row r="15" spans="1:7" x14ac:dyDescent="0.3">
      <c r="A15" s="2" t="s">
        <v>207</v>
      </c>
      <c r="B15" s="2" t="s">
        <v>78</v>
      </c>
      <c r="C15" s="2" t="s">
        <v>14</v>
      </c>
      <c r="D15" s="2" t="s">
        <v>15</v>
      </c>
      <c r="E15" s="2" t="s">
        <v>203</v>
      </c>
      <c r="F15" s="2" t="s">
        <v>86</v>
      </c>
      <c r="G15" s="2" t="s">
        <v>208</v>
      </c>
    </row>
    <row r="16" spans="1:7" x14ac:dyDescent="0.3">
      <c r="A16" s="1" t="s">
        <v>209</v>
      </c>
      <c r="B16" s="1" t="s">
        <v>88</v>
      </c>
      <c r="C16" s="1" t="s">
        <v>182</v>
      </c>
      <c r="D16" s="1" t="s">
        <v>13</v>
      </c>
      <c r="E16" s="1" t="s">
        <v>183</v>
      </c>
      <c r="F16" s="1" t="s">
        <v>86</v>
      </c>
      <c r="G16" s="1" t="s">
        <v>210</v>
      </c>
    </row>
    <row r="17" spans="1:7" x14ac:dyDescent="0.3">
      <c r="A17" s="2" t="s">
        <v>211</v>
      </c>
      <c r="B17" s="2" t="s">
        <v>88</v>
      </c>
      <c r="C17" s="2" t="s">
        <v>13</v>
      </c>
      <c r="D17" s="2" t="s">
        <v>15</v>
      </c>
      <c r="E17" s="2" t="s">
        <v>183</v>
      </c>
      <c r="F17" s="2" t="s">
        <v>94</v>
      </c>
      <c r="G17" s="2" t="s">
        <v>212</v>
      </c>
    </row>
    <row r="18" spans="1:7" x14ac:dyDescent="0.3">
      <c r="A18" s="1" t="s">
        <v>213</v>
      </c>
      <c r="B18" s="1" t="s">
        <v>96</v>
      </c>
      <c r="C18" s="1" t="s">
        <v>182</v>
      </c>
      <c r="D18" s="1" t="s">
        <v>13</v>
      </c>
      <c r="E18" s="1" t="s">
        <v>183</v>
      </c>
      <c r="F18" s="1" t="s">
        <v>86</v>
      </c>
      <c r="G18" s="1" t="s">
        <v>214</v>
      </c>
    </row>
    <row r="19" spans="1:7" ht="26.4" x14ac:dyDescent="0.3">
      <c r="A19" s="2" t="s">
        <v>215</v>
      </c>
      <c r="B19" s="2" t="s">
        <v>96</v>
      </c>
      <c r="C19" s="2" t="s">
        <v>13</v>
      </c>
      <c r="D19" s="2" t="s">
        <v>14</v>
      </c>
      <c r="E19" s="2" t="s">
        <v>183</v>
      </c>
      <c r="F19" s="2" t="s">
        <v>86</v>
      </c>
      <c r="G19" s="2" t="s">
        <v>216</v>
      </c>
    </row>
    <row r="20" spans="1:7" x14ac:dyDescent="0.3">
      <c r="A20" s="1" t="s">
        <v>217</v>
      </c>
      <c r="B20" s="1" t="s">
        <v>102</v>
      </c>
      <c r="C20" s="1" t="s">
        <v>182</v>
      </c>
      <c r="D20" s="1" t="s">
        <v>13</v>
      </c>
      <c r="E20" s="1" t="s">
        <v>183</v>
      </c>
      <c r="F20" s="1" t="s">
        <v>86</v>
      </c>
      <c r="G20" s="1" t="s">
        <v>218</v>
      </c>
    </row>
    <row r="21" spans="1:7" x14ac:dyDescent="0.3">
      <c r="A21" s="2" t="s">
        <v>219</v>
      </c>
      <c r="B21" s="2" t="s">
        <v>102</v>
      </c>
      <c r="C21" s="2" t="s">
        <v>13</v>
      </c>
      <c r="D21" s="2" t="s">
        <v>15</v>
      </c>
      <c r="E21" s="2" t="s">
        <v>183</v>
      </c>
      <c r="F21" s="2" t="s">
        <v>108</v>
      </c>
      <c r="G21" s="2" t="s">
        <v>220</v>
      </c>
    </row>
    <row r="22" spans="1:7" x14ac:dyDescent="0.3">
      <c r="A22" s="1" t="s">
        <v>221</v>
      </c>
      <c r="B22" s="1" t="s">
        <v>110</v>
      </c>
      <c r="C22" s="1" t="s">
        <v>182</v>
      </c>
      <c r="D22" s="1" t="s">
        <v>13</v>
      </c>
      <c r="E22" s="1" t="s">
        <v>192</v>
      </c>
      <c r="F22" s="1" t="s">
        <v>86</v>
      </c>
      <c r="G22" s="1" t="s">
        <v>222</v>
      </c>
    </row>
    <row r="23" spans="1:7" x14ac:dyDescent="0.3">
      <c r="A23" s="2" t="s">
        <v>223</v>
      </c>
      <c r="B23" s="2" t="s">
        <v>110</v>
      </c>
      <c r="C23" s="2" t="s">
        <v>13</v>
      </c>
      <c r="D23" s="2" t="s">
        <v>13</v>
      </c>
      <c r="E23" s="2" t="s">
        <v>224</v>
      </c>
      <c r="F23" s="2" t="s">
        <v>86</v>
      </c>
      <c r="G23" s="2" t="s">
        <v>225</v>
      </c>
    </row>
    <row r="24" spans="1:7" x14ac:dyDescent="0.3">
      <c r="A24" s="1" t="s">
        <v>226</v>
      </c>
      <c r="B24" s="1" t="s">
        <v>117</v>
      </c>
      <c r="C24" s="1" t="s">
        <v>182</v>
      </c>
      <c r="D24" s="1" t="s">
        <v>13</v>
      </c>
      <c r="E24" s="1" t="s">
        <v>203</v>
      </c>
      <c r="F24" s="1" t="s">
        <v>86</v>
      </c>
      <c r="G24" s="1" t="s">
        <v>227</v>
      </c>
    </row>
    <row r="25" spans="1:7" x14ac:dyDescent="0.3">
      <c r="A25" s="2" t="s">
        <v>228</v>
      </c>
      <c r="B25" s="2" t="s">
        <v>123</v>
      </c>
      <c r="C25" s="2" t="s">
        <v>182</v>
      </c>
      <c r="D25" s="2" t="s">
        <v>13</v>
      </c>
      <c r="E25" s="2" t="s">
        <v>192</v>
      </c>
      <c r="F25" s="2" t="s">
        <v>86</v>
      </c>
      <c r="G25" s="2" t="s">
        <v>229</v>
      </c>
    </row>
    <row r="26" spans="1:7" x14ac:dyDescent="0.3">
      <c r="A26" s="1" t="s">
        <v>230</v>
      </c>
      <c r="B26" s="1" t="s">
        <v>130</v>
      </c>
      <c r="C26" s="1" t="s">
        <v>182</v>
      </c>
      <c r="D26" s="1" t="s">
        <v>13</v>
      </c>
      <c r="E26" s="1" t="s">
        <v>183</v>
      </c>
      <c r="F26" s="1" t="s">
        <v>86</v>
      </c>
      <c r="G26" s="1" t="s">
        <v>231</v>
      </c>
    </row>
    <row r="27" spans="1:7" x14ac:dyDescent="0.3">
      <c r="A27" s="2" t="s">
        <v>232</v>
      </c>
      <c r="B27" s="2" t="s">
        <v>137</v>
      </c>
      <c r="C27" s="2" t="s">
        <v>182</v>
      </c>
      <c r="D27" s="2" t="s">
        <v>13</v>
      </c>
      <c r="E27" s="2" t="s">
        <v>183</v>
      </c>
      <c r="F27" s="2" t="s">
        <v>86</v>
      </c>
      <c r="G27" s="2" t="s">
        <v>233</v>
      </c>
    </row>
    <row r="28" spans="1:7" x14ac:dyDescent="0.3">
      <c r="A28" s="1" t="s">
        <v>234</v>
      </c>
      <c r="B28" s="1" t="s">
        <v>144</v>
      </c>
      <c r="C28" s="1" t="s">
        <v>182</v>
      </c>
      <c r="D28" s="1" t="s">
        <v>13</v>
      </c>
      <c r="E28" s="1" t="s">
        <v>183</v>
      </c>
      <c r="F28" s="1" t="s">
        <v>86</v>
      </c>
      <c r="G28" s="1" t="s">
        <v>235</v>
      </c>
    </row>
    <row r="29" spans="1:7" x14ac:dyDescent="0.3">
      <c r="A29" s="2" t="s">
        <v>236</v>
      </c>
      <c r="B29" s="2" t="s">
        <v>149</v>
      </c>
      <c r="C29" s="2" t="s">
        <v>182</v>
      </c>
      <c r="D29" s="2" t="s">
        <v>13</v>
      </c>
      <c r="E29" s="2" t="s">
        <v>183</v>
      </c>
      <c r="F29" s="2" t="s">
        <v>86</v>
      </c>
      <c r="G29" s="2" t="s">
        <v>237</v>
      </c>
    </row>
    <row r="30" spans="1:7" x14ac:dyDescent="0.3">
      <c r="A30" s="1" t="s">
        <v>238</v>
      </c>
      <c r="B30" s="1" t="s">
        <v>154</v>
      </c>
      <c r="C30" s="1" t="s">
        <v>182</v>
      </c>
      <c r="D30" s="1" t="s">
        <v>13</v>
      </c>
      <c r="E30" s="1" t="s">
        <v>192</v>
      </c>
      <c r="F30" s="1" t="s">
        <v>86</v>
      </c>
      <c r="G30" s="1" t="s">
        <v>239</v>
      </c>
    </row>
  </sheetData>
  <autoFilter ref="A3:G3" xr:uid="{00000000-0009-0000-0000-000003000000}"/>
  <mergeCells count="2">
    <mergeCell ref="A2:G2"/>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00_LEGENDE</vt:lpstr>
      <vt:lpstr>01_ANOMALIES</vt:lpstr>
      <vt:lpstr>02_SYNTHESE_PHASE</vt:lpstr>
      <vt:lpstr>03_HISTORIQUE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Abel Rabetsimialona</cp:lastModifiedBy>
  <dcterms:created xsi:type="dcterms:W3CDTF">2026-04-19T22:04:14Z</dcterms:created>
  <dcterms:modified xsi:type="dcterms:W3CDTF">2026-04-19T22:10:48Z</dcterms:modified>
</cp:coreProperties>
</file>