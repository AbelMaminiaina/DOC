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GENDE" sheetId="1" state="visible" r:id="rId1"/>
    <sheet xmlns:r="http://schemas.openxmlformats.org/officeDocument/2006/relationships" name="01_EXIGENCES" sheetId="2" state="visible" r:id="rId2"/>
    <sheet xmlns:r="http://schemas.openxmlformats.org/officeDocument/2006/relationships" name="02_SYNTHESE_PHASE" sheetId="3" state="visible" r:id="rId3"/>
  </sheets>
  <definedNames>
    <definedName name="_xlnm._FilterDatabase" localSheetId="1" hidden="1">'01_EXIGENCES'!$A$1:$N$202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C5700"/>
      <sz val="10"/>
    </font>
    <font>
      <name val="Arial"/>
      <b val="1"/>
      <color rgb="001F4E79"/>
      <sz val="12"/>
    </font>
    <font>
      <name val="Arial"/>
      <color rgb="001A1A1A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AAAAAA"/>
      <sz val="10"/>
    </font>
    <font>
      <name val="Arial"/>
      <i val="1"/>
      <color rgb="00444444"/>
      <sz val="9"/>
    </font>
    <font>
      <name val="Arial"/>
      <b val="1"/>
      <color rgb="001A1A1A"/>
      <sz val="10"/>
    </font>
    <font>
      <name val="Arial"/>
      <b val="1"/>
      <color rgb="001F4E79"/>
      <sz val="10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8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/>
      <right/>
      <top style="thin">
        <color rgb="002E75B6"/>
      </top>
      <bottom/>
      <diagonal/>
    </border>
    <border>
      <left/>
      <right style="thin">
        <color rgb="002E75B6"/>
      </right>
      <top style="thin">
        <color rgb="002E75B6"/>
      </top>
      <bottom/>
      <diagonal/>
    </border>
    <border>
      <left/>
      <right/>
      <top style="thin">
        <color rgb="002E75B6"/>
      </top>
      <bottom style="thin">
        <color rgb="002E75B6"/>
      </bottom>
      <diagonal/>
    </border>
    <border>
      <left/>
      <right style="thin">
        <color rgb="002E75B6"/>
      </right>
      <top style="thin">
        <color rgb="002E75B6"/>
      </top>
      <bottom style="thin">
        <color rgb="002E75B6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6" pivotButton="0" quotePrefix="0" xfId="0"/>
    <xf numFmtId="0" fontId="4" fillId="6" borderId="6" pivotButton="0" quotePrefix="0" xfId="0"/>
    <xf numFmtId="0" fontId="4" fillId="0" borderId="6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9" fontId="4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9" fontId="4" fillId="6" borderId="6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9" fontId="1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9" borderId="6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6E4F7"/>
        </patternFill>
      </fill>
    </dxf>
    <dxf>
      <fill>
        <patternFill patternType="solid">
          <fgColor rgb="00FF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LÉGENDE &amp; RÉFÉRENTIEL — Fichier EXIGENCES_BESOINS</t>
        </is>
      </c>
    </row>
    <row r="2">
      <c r="A2" s="2" t="inlineStr">
        <is>
          <t>⚠  Ne pas modifier cet onglet sans validation du chef de projet</t>
        </is>
      </c>
    </row>
    <row r="4">
      <c r="A4" s="3" t="inlineStr">
        <is>
          <t>📋  Catégorie</t>
        </is>
      </c>
      <c r="B4" s="4" t="n"/>
      <c r="C4" s="4" t="n"/>
      <c r="D4" s="4" t="n"/>
      <c r="E4" s="4" t="n"/>
      <c r="F4" s="5" t="n"/>
    </row>
    <row r="5">
      <c r="B5" s="6" t="inlineStr">
        <is>
          <t>Fonctionnel</t>
        </is>
      </c>
    </row>
    <row r="6">
      <c r="B6" s="7" t="inlineStr">
        <is>
          <t>Non-fonctionnel</t>
        </is>
      </c>
    </row>
    <row r="7">
      <c r="B7" s="6" t="inlineStr">
        <is>
          <t>Réglementaire</t>
        </is>
      </c>
    </row>
    <row r="8">
      <c r="B8" s="7" t="inlineStr">
        <is>
          <t>Technique</t>
        </is>
      </c>
    </row>
    <row r="9">
      <c r="B9" s="6" t="inlineStr">
        <is>
          <t>Sécurité</t>
        </is>
      </c>
    </row>
    <row r="11">
      <c r="A11" s="3" t="inlineStr">
        <is>
          <t>📋  Priorité</t>
        </is>
      </c>
      <c r="B11" s="4" t="n"/>
      <c r="C11" s="4" t="n"/>
      <c r="D11" s="4" t="n"/>
      <c r="E11" s="4" t="n"/>
      <c r="F11" s="5" t="n"/>
    </row>
    <row r="12">
      <c r="B12" s="6" t="inlineStr">
        <is>
          <t>Critique</t>
        </is>
      </c>
    </row>
    <row r="13">
      <c r="B13" s="7" t="inlineStr">
        <is>
          <t>Haute</t>
        </is>
      </c>
    </row>
    <row r="14">
      <c r="B14" s="6" t="inlineStr">
        <is>
          <t>Moyenne</t>
        </is>
      </c>
    </row>
    <row r="15">
      <c r="B15" s="7" t="inlineStr">
        <is>
          <t>Faible</t>
        </is>
      </c>
    </row>
    <row r="17">
      <c r="A17" s="3" t="inlineStr">
        <is>
          <t>📋  Source</t>
        </is>
      </c>
      <c r="B17" s="4" t="n"/>
      <c r="C17" s="4" t="n"/>
      <c r="D17" s="4" t="n"/>
      <c r="E17" s="4" t="n"/>
      <c r="F17" s="5" t="n"/>
    </row>
    <row r="18">
      <c r="B18" s="6" t="inlineStr">
        <is>
          <t>Client</t>
        </is>
      </c>
    </row>
    <row r="19">
      <c r="B19" s="7" t="inlineStr">
        <is>
          <t>MOA</t>
        </is>
      </c>
    </row>
    <row r="20">
      <c r="B20" s="6" t="inlineStr">
        <is>
          <t>MOE</t>
        </is>
      </c>
    </row>
    <row r="21">
      <c r="B21" s="7" t="inlineStr">
        <is>
          <t>Réglementaire</t>
        </is>
      </c>
    </row>
    <row r="22">
      <c r="B22" s="6" t="inlineStr">
        <is>
          <t>Interne</t>
        </is>
      </c>
    </row>
    <row r="24">
      <c r="A24" s="3" t="inlineStr">
        <is>
          <t>📋  Phase V-cycle</t>
        </is>
      </c>
      <c r="B24" s="4" t="n"/>
      <c r="C24" s="4" t="n"/>
      <c r="D24" s="4" t="n"/>
      <c r="E24" s="4" t="n"/>
      <c r="F24" s="5" t="n"/>
    </row>
    <row r="25">
      <c r="B25" s="6" t="inlineStr">
        <is>
          <t>Définition</t>
        </is>
      </c>
    </row>
    <row r="26">
      <c r="B26" s="7" t="inlineStr">
        <is>
          <t>Conception</t>
        </is>
      </c>
    </row>
    <row r="27">
      <c r="B27" s="6" t="inlineStr">
        <is>
          <t>Réalisation</t>
        </is>
      </c>
    </row>
    <row r="28">
      <c r="B28" s="7" t="inlineStr">
        <is>
          <t>Tests</t>
        </is>
      </c>
    </row>
    <row r="29">
      <c r="B29" s="6" t="inlineStr">
        <is>
          <t>Recette</t>
        </is>
      </c>
    </row>
    <row r="30">
      <c r="B30" s="7" t="inlineStr">
        <is>
          <t>Déploiement</t>
        </is>
      </c>
    </row>
    <row r="32">
      <c r="A32" s="3" t="inlineStr">
        <is>
          <t>📋  Statut</t>
        </is>
      </c>
      <c r="B32" s="4" t="n"/>
      <c r="C32" s="4" t="n"/>
      <c r="D32" s="4" t="n"/>
      <c r="E32" s="4" t="n"/>
      <c r="F32" s="5" t="n"/>
    </row>
    <row r="33">
      <c r="B33" s="6" t="inlineStr">
        <is>
          <t>En attente</t>
        </is>
      </c>
    </row>
    <row r="34">
      <c r="B34" s="7" t="inlineStr">
        <is>
          <t>Validé</t>
        </is>
      </c>
    </row>
    <row r="35">
      <c r="B35" s="6" t="inlineStr">
        <is>
          <t>Gelé</t>
        </is>
      </c>
    </row>
    <row r="36">
      <c r="B36" s="7" t="inlineStr">
        <is>
          <t>Abandonné</t>
        </is>
      </c>
    </row>
    <row r="37">
      <c r="B37" s="6" t="inlineStr">
        <is>
          <t>En révision</t>
        </is>
      </c>
    </row>
    <row r="39">
      <c r="A39" s="3" t="inlineStr">
        <is>
          <t>📌  Convention d'identifiant</t>
        </is>
      </c>
      <c r="B39" s="4" t="n"/>
      <c r="C39" s="4" t="n"/>
      <c r="D39" s="4" t="n"/>
      <c r="E39" s="4" t="n"/>
      <c r="F39" s="5" t="n"/>
    </row>
    <row r="40">
      <c r="B40" s="8" t="inlineStr">
        <is>
          <t>Format ID : EXG-NNN  (ex. EXG-001, EXG-042)</t>
        </is>
      </c>
    </row>
    <row r="41">
      <c r="B41" s="8" t="inlineStr">
        <is>
          <t>L'ID est unique et permanent — jamais réutilisé, même si l'exigence est abandonnée</t>
        </is>
      </c>
    </row>
    <row r="42">
      <c r="B42" s="8" t="inlineStr">
        <is>
          <t>Colonne ID_SPEC_LIE : séparer les IDs par une virgule  (ex. SPEC-001, SPEC-002)</t>
        </is>
      </c>
    </row>
    <row r="43">
      <c r="B43" s="8" t="inlineStr">
        <is>
          <t>Colonne ID_TEST_LIE : séparer les IDs par une virgule  (ex. TST-001, TST-002)</t>
        </is>
      </c>
    </row>
  </sheetData>
  <mergeCells count="8">
    <mergeCell ref="A24:F24"/>
    <mergeCell ref="A2:F2"/>
    <mergeCell ref="A11:F11"/>
    <mergeCell ref="A1:F1"/>
    <mergeCell ref="A32:F32"/>
    <mergeCell ref="A17:F17"/>
    <mergeCell ref="A4:F4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5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35" customWidth="1" min="14" max="14"/>
  </cols>
  <sheetData>
    <row r="1" ht="28" customHeight="1">
      <c r="A1" s="9" t="inlineStr">
        <is>
          <t>REGISTRE DES EXIGENCES &amp; BESOINS — Cycle en V</t>
        </is>
      </c>
    </row>
    <row r="2" ht="22" customHeight="1">
      <c r="A2" s="10" t="inlineStr">
        <is>
          <t>ID_EXG</t>
        </is>
      </c>
      <c r="B2" s="10" t="inlineStr">
        <is>
          <t>Catégorie</t>
        </is>
      </c>
      <c r="C2" s="10" t="inlineStr">
        <is>
          <t>Titre</t>
        </is>
      </c>
      <c r="D2" s="10" t="inlineStr">
        <is>
          <t>Description</t>
        </is>
      </c>
      <c r="E2" s="10" t="inlineStr">
        <is>
          <t>Priorité</t>
        </is>
      </c>
      <c r="F2" s="10" t="inlineStr">
        <is>
          <t>Source</t>
        </is>
      </c>
      <c r="G2" s="10" t="inlineStr">
        <is>
          <t>Phase V-cycle</t>
        </is>
      </c>
      <c r="H2" s="10" t="inlineStr">
        <is>
          <t>Statut</t>
        </is>
      </c>
      <c r="I2" s="10" t="inlineStr">
        <is>
          <t>Responsable</t>
        </is>
      </c>
      <c r="J2" s="10" t="inlineStr">
        <is>
          <t>Date validation</t>
        </is>
      </c>
      <c r="K2" s="10" t="inlineStr">
        <is>
          <t>ID_SPEC lié</t>
        </is>
      </c>
      <c r="L2" s="10" t="inlineStr">
        <is>
          <t>ID_TEST lié</t>
        </is>
      </c>
      <c r="M2" s="10" t="inlineStr">
        <is>
          <t>Taux couverture</t>
        </is>
      </c>
      <c r="N2" s="10" t="inlineStr">
        <is>
          <t>Commentaires</t>
        </is>
      </c>
    </row>
    <row r="3">
      <c r="A3" s="11" t="inlineStr">
        <is>
          <t>EXG-001</t>
        </is>
      </c>
      <c r="B3" s="11" t="inlineStr">
        <is>
          <t>Fonctionnel</t>
        </is>
      </c>
      <c r="C3" s="11" t="inlineStr">
        <is>
          <t>Authentification SSO</t>
        </is>
      </c>
      <c r="D3" s="11" t="inlineStr">
        <is>
          <t>L'utilisateur doit pouvoir se connecter via le SSO d'entreprise (SAML 2.0)</t>
        </is>
      </c>
      <c r="E3" s="11" t="inlineStr">
        <is>
          <t>Critique</t>
        </is>
      </c>
      <c r="F3" s="11" t="inlineStr">
        <is>
          <t>Client</t>
        </is>
      </c>
      <c r="G3" s="11" t="inlineStr">
        <is>
          <t>Définition</t>
        </is>
      </c>
      <c r="H3" s="11" t="inlineStr">
        <is>
          <t>Validé</t>
        </is>
      </c>
      <c r="I3" s="11" t="inlineStr">
        <is>
          <t>M. Dupont</t>
        </is>
      </c>
      <c r="J3" s="11" t="inlineStr">
        <is>
          <t>15/04/2026</t>
        </is>
      </c>
      <c r="K3" s="11" t="inlineStr">
        <is>
          <t>SPEC-001, SPEC-002</t>
        </is>
      </c>
      <c r="L3" s="11" t="inlineStr">
        <is>
          <t>TST-001</t>
        </is>
      </c>
      <c r="M3" s="11" t="inlineStr"/>
      <c r="N3" s="11" t="inlineStr">
        <is>
          <t>Validé en revue du 10/04/2026</t>
        </is>
      </c>
    </row>
    <row r="4">
      <c r="A4" s="12" t="inlineStr">
        <is>
          <t>EXG-002</t>
        </is>
      </c>
      <c r="B4" s="12" t="inlineStr">
        <is>
          <t>Non-fonctionnel</t>
        </is>
      </c>
      <c r="C4" s="12" t="inlineStr">
        <is>
          <t>Temps de réponse &lt; 2s</t>
        </is>
      </c>
      <c r="D4" s="12" t="inlineStr">
        <is>
          <t>Toutes les pages doivent se charger en moins de 2 secondes à charge nominale</t>
        </is>
      </c>
      <c r="E4" s="12" t="inlineStr">
        <is>
          <t>Haute</t>
        </is>
      </c>
      <c r="F4" s="12" t="inlineStr">
        <is>
          <t>MOA</t>
        </is>
      </c>
      <c r="G4" s="12" t="inlineStr">
        <is>
          <t>Conception</t>
        </is>
      </c>
      <c r="H4" s="12" t="inlineStr">
        <is>
          <t>En attente</t>
        </is>
      </c>
      <c r="I4" s="12" t="inlineStr">
        <is>
          <t>M. Martin</t>
        </is>
      </c>
      <c r="J4" s="12" t="inlineStr"/>
      <c r="K4" s="12" t="inlineStr">
        <is>
          <t>SPEC-003</t>
        </is>
      </c>
      <c r="L4" s="12" t="inlineStr"/>
      <c r="M4" s="12" t="inlineStr"/>
      <c r="N4" s="12" t="inlineStr">
        <is>
          <t>À affiner avec l'architecte</t>
        </is>
      </c>
    </row>
    <row r="5">
      <c r="A5" s="11" t="inlineStr">
        <is>
          <t>EXG-003</t>
        </is>
      </c>
      <c r="B5" s="11" t="inlineStr">
        <is>
          <t>Réglementaire</t>
        </is>
      </c>
      <c r="C5" s="11" t="inlineStr">
        <is>
          <t>Conformité RGPD</t>
        </is>
      </c>
      <c r="D5" s="11" t="inlineStr">
        <is>
          <t>Les données personnelles doivent être chiffrées au repos et en transit</t>
        </is>
      </c>
      <c r="E5" s="11" t="inlineStr">
        <is>
          <t>Critique</t>
        </is>
      </c>
      <c r="F5" s="11" t="inlineStr">
        <is>
          <t>Réglementaire</t>
        </is>
      </c>
      <c r="G5" s="11" t="inlineStr">
        <is>
          <t>Définition</t>
        </is>
      </c>
      <c r="H5" s="11" t="inlineStr">
        <is>
          <t>Validé</t>
        </is>
      </c>
      <c r="I5" s="11" t="inlineStr">
        <is>
          <t>Mme. Leclerc</t>
        </is>
      </c>
      <c r="J5" s="11" t="inlineStr">
        <is>
          <t>12/04/2026</t>
        </is>
      </c>
      <c r="K5" s="11" t="inlineStr">
        <is>
          <t>SPEC-004</t>
        </is>
      </c>
      <c r="L5" s="11" t="inlineStr">
        <is>
          <t>TST-005, TST-006</t>
        </is>
      </c>
      <c r="M5" s="11" t="inlineStr"/>
      <c r="N5" s="11" t="inlineStr">
        <is>
          <t>Exigence légale — non négociable</t>
        </is>
      </c>
    </row>
    <row r="6">
      <c r="A6" s="12" t="inlineStr">
        <is>
          <t>EXG-004</t>
        </is>
      </c>
      <c r="B6" s="12" t="inlineStr">
        <is>
          <t>Fonctionnel</t>
        </is>
      </c>
      <c r="C6" s="12" t="inlineStr">
        <is>
          <t>Export PDF des rapports</t>
        </is>
      </c>
      <c r="D6" s="12" t="inlineStr">
        <is>
          <t>L'utilisateur peut exporter n'importe quel rapport en PDF</t>
        </is>
      </c>
      <c r="E6" s="12" t="inlineStr">
        <is>
          <t>Moyenne</t>
        </is>
      </c>
      <c r="F6" s="12" t="inlineStr">
        <is>
          <t>Client</t>
        </is>
      </c>
      <c r="G6" s="12" t="inlineStr">
        <is>
          <t>Réalisation</t>
        </is>
      </c>
      <c r="H6" s="12" t="inlineStr">
        <is>
          <t>En révision</t>
        </is>
      </c>
      <c r="I6" s="12" t="inlineStr">
        <is>
          <t>M. Dupont</t>
        </is>
      </c>
      <c r="J6" s="12" t="inlineStr"/>
      <c r="K6" s="12" t="inlineStr"/>
      <c r="L6" s="12" t="inlineStr"/>
      <c r="M6" s="12" t="inlineStr"/>
      <c r="N6" s="12" t="inlineStr">
        <is>
          <t>En attente validation MOA</t>
        </is>
      </c>
    </row>
    <row r="7">
      <c r="A7" s="11" t="inlineStr">
        <is>
          <t>EXG-005</t>
        </is>
      </c>
      <c r="B7" s="11" t="inlineStr">
        <is>
          <t>Sécurité</t>
        </is>
      </c>
      <c r="C7" s="11" t="inlineStr">
        <is>
          <t>Gestion des droits d'accès</t>
        </is>
      </c>
      <c r="D7" s="11" t="inlineStr">
        <is>
          <t>Chaque utilisateur ne voit que les données de son périmètre</t>
        </is>
      </c>
      <c r="E7" s="11" t="inlineStr">
        <is>
          <t>Critique</t>
        </is>
      </c>
      <c r="F7" s="11" t="inlineStr">
        <is>
          <t>MOA</t>
        </is>
      </c>
      <c r="G7" s="11" t="inlineStr">
        <is>
          <t>Conception</t>
        </is>
      </c>
      <c r="H7" s="11" t="inlineStr">
        <is>
          <t>Validé</t>
        </is>
      </c>
      <c r="I7" s="11" t="inlineStr">
        <is>
          <t>Mme. Leclerc</t>
        </is>
      </c>
      <c r="J7" s="11" t="inlineStr">
        <is>
          <t>18/04/2026</t>
        </is>
      </c>
      <c r="K7" s="11" t="inlineStr">
        <is>
          <t>SPEC-005</t>
        </is>
      </c>
      <c r="L7" s="11" t="inlineStr"/>
      <c r="M7" s="11" t="inlineStr"/>
      <c r="N7" s="11" t="inlineStr">
        <is>
          <t>Matrice des droits à produire</t>
        </is>
      </c>
    </row>
    <row r="8">
      <c r="A8" s="12" t="inlineStr">
        <is>
          <t>EXG-006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1" t="inlineStr">
        <is>
          <t>EXG-007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>
      <c r="A10" s="12" t="inlineStr">
        <is>
          <t>EXG-008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11" t="inlineStr">
        <is>
          <t>EXG-009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2" t="inlineStr">
        <is>
          <t>EXG-010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1" t="inlineStr">
        <is>
          <t>EXG-011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2" t="inlineStr">
        <is>
          <t>EXG-012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1" t="inlineStr">
        <is>
          <t>EXG-013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2" t="inlineStr">
        <is>
          <t>EXG-014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>
      <c r="A17" s="11" t="inlineStr">
        <is>
          <t>EXG-015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2" t="inlineStr">
        <is>
          <t>EXG-016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>
      <c r="A19" s="11" t="inlineStr">
        <is>
          <t>EXG-017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2" t="inlineStr">
        <is>
          <t>EXG-018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>
      <c r="A21" s="11" t="inlineStr">
        <is>
          <t>EXG-019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2" t="inlineStr">
        <is>
          <t>EXG-020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1" t="inlineStr">
        <is>
          <t>EXG-021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2" t="inlineStr">
        <is>
          <t>EXG-022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1" t="inlineStr">
        <is>
          <t>EXG-023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2" t="inlineStr">
        <is>
          <t>EXG-024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1" t="inlineStr">
        <is>
          <t>EXG-025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2" t="inlineStr">
        <is>
          <t>EXG-026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1" t="inlineStr">
        <is>
          <t>EXG-027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2" t="inlineStr">
        <is>
          <t>EXG-028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1" t="inlineStr">
        <is>
          <t>EXG-029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2" t="inlineStr">
        <is>
          <t>EXG-030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1" t="inlineStr">
        <is>
          <t>EXG-031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2" t="inlineStr">
        <is>
          <t>EXG-032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1" t="inlineStr">
        <is>
          <t>EXG-033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2" t="inlineStr">
        <is>
          <t>EXG-034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1" t="inlineStr">
        <is>
          <t>EXG-035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>
      <c r="A38" s="12" t="inlineStr">
        <is>
          <t>EXG-036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1" t="inlineStr">
        <is>
          <t>EXG-037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2" t="inlineStr">
        <is>
          <t>EXG-038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>
      <c r="A41" s="11" t="inlineStr">
        <is>
          <t>EXG-039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>
      <c r="A42" s="12" t="inlineStr">
        <is>
          <t>EXG-040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1" t="inlineStr">
        <is>
          <t>EXG-041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12" t="inlineStr">
        <is>
          <t>EXG-042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1" t="inlineStr">
        <is>
          <t>EXG-043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>
      <c r="A46" s="12" t="inlineStr">
        <is>
          <t>EXG-044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1" t="inlineStr">
        <is>
          <t>EXG-045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>
      <c r="A48" s="12" t="inlineStr">
        <is>
          <t>EXG-046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1" t="inlineStr">
        <is>
          <t>EXG-047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>
      <c r="A50" s="12" t="inlineStr">
        <is>
          <t>EXG-048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</row>
    <row r="51">
      <c r="A51" s="11" t="inlineStr">
        <is>
          <t>EXG-049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>
      <c r="A52" s="12" t="inlineStr">
        <is>
          <t>EXG-050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1" t="inlineStr">
        <is>
          <t>EXG-051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>
      <c r="A54" s="12" t="inlineStr">
        <is>
          <t>EXG-052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1" t="inlineStr">
        <is>
          <t>EXG-053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</row>
    <row r="56">
      <c r="A56" s="12" t="inlineStr">
        <is>
          <t>EXG-054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1" t="inlineStr">
        <is>
          <t>EXG-055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</row>
    <row r="58">
      <c r="A58" s="12" t="inlineStr">
        <is>
          <t>EXG-056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1" t="inlineStr">
        <is>
          <t>EXG-057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</row>
    <row r="60">
      <c r="A60" s="12" t="inlineStr">
        <is>
          <t>EXG-058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</row>
    <row r="61">
      <c r="A61" s="11" t="inlineStr">
        <is>
          <t>EXG-059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</row>
    <row r="62">
      <c r="A62" s="12" t="inlineStr">
        <is>
          <t>EXG-060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1" t="inlineStr">
        <is>
          <t>EXG-061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</row>
    <row r="64">
      <c r="A64" s="12" t="inlineStr">
        <is>
          <t>EXG-062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1" t="inlineStr">
        <is>
          <t>EXG-063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</row>
    <row r="66">
      <c r="A66" s="12" t="inlineStr">
        <is>
          <t>EXG-064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1" t="inlineStr">
        <is>
          <t>EXG-065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</row>
    <row r="68">
      <c r="A68" s="12" t="inlineStr">
        <is>
          <t>EXG-066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</row>
    <row r="69">
      <c r="A69" s="11" t="inlineStr">
        <is>
          <t>EXG-067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</row>
    <row r="70">
      <c r="A70" s="12" t="inlineStr">
        <is>
          <t>EXG-068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1" t="inlineStr">
        <is>
          <t>EXG-069</t>
        </is>
      </c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</row>
    <row r="72">
      <c r="A72" s="12" t="inlineStr">
        <is>
          <t>EXG-070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</row>
    <row r="73">
      <c r="A73" s="11" t="inlineStr">
        <is>
          <t>EXG-071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</row>
    <row r="74">
      <c r="A74" s="12" t="inlineStr">
        <is>
          <t>EXG-072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1" t="inlineStr">
        <is>
          <t>EXG-073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</row>
    <row r="76">
      <c r="A76" s="12" t="inlineStr">
        <is>
          <t>EXG-074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1" t="inlineStr">
        <is>
          <t>EXG-075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</row>
    <row r="78">
      <c r="A78" s="12" t="inlineStr">
        <is>
          <t>EXG-076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</row>
    <row r="79">
      <c r="A79" s="11" t="inlineStr">
        <is>
          <t>EXG-077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</row>
    <row r="80">
      <c r="A80" s="12" t="inlineStr">
        <is>
          <t>EXG-078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1" t="inlineStr">
        <is>
          <t>EXG-079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</row>
    <row r="82">
      <c r="A82" s="12" t="inlineStr">
        <is>
          <t>EXG-080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</row>
    <row r="83">
      <c r="A83" s="11" t="inlineStr">
        <is>
          <t>EXG-081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</row>
    <row r="84">
      <c r="A84" s="12" t="inlineStr">
        <is>
          <t>EXG-082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1" t="inlineStr">
        <is>
          <t>EXG-083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</row>
    <row r="86">
      <c r="A86" s="12" t="inlineStr">
        <is>
          <t>EXG-084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1" t="inlineStr">
        <is>
          <t>EXG-085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</row>
    <row r="88">
      <c r="A88" s="12" t="inlineStr">
        <is>
          <t>EXG-086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</row>
    <row r="89">
      <c r="A89" s="11" t="inlineStr">
        <is>
          <t>EXG-087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</row>
    <row r="90">
      <c r="A90" s="12" t="inlineStr">
        <is>
          <t>EXG-088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</row>
    <row r="91">
      <c r="A91" s="11" t="inlineStr">
        <is>
          <t>EXG-089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</row>
    <row r="92">
      <c r="A92" s="12" t="inlineStr">
        <is>
          <t>EXG-090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</row>
    <row r="93">
      <c r="A93" s="11" t="inlineStr">
        <is>
          <t>EXG-091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</row>
    <row r="94">
      <c r="A94" s="12" t="inlineStr">
        <is>
          <t>EXG-092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</row>
    <row r="95">
      <c r="A95" s="11" t="inlineStr">
        <is>
          <t>EXG-093</t>
        </is>
      </c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</row>
    <row r="96">
      <c r="A96" s="12" t="inlineStr">
        <is>
          <t>EXG-094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</row>
    <row r="97">
      <c r="A97" s="11" t="inlineStr">
        <is>
          <t>EXG-095</t>
        </is>
      </c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</row>
    <row r="98">
      <c r="A98" s="12" t="inlineStr">
        <is>
          <t>EXG-096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</row>
    <row r="99">
      <c r="A99" s="11" t="inlineStr">
        <is>
          <t>EXG-097</t>
        </is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</row>
    <row r="100">
      <c r="A100" s="12" t="inlineStr">
        <is>
          <t>EXG-098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</row>
    <row r="101">
      <c r="A101" s="11" t="inlineStr">
        <is>
          <t>EXG-099</t>
        </is>
      </c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</row>
    <row r="102">
      <c r="A102" s="12" t="inlineStr">
        <is>
          <t>EXG-100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1" t="inlineStr">
        <is>
          <t>EXG-101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</row>
    <row r="104">
      <c r="A104" s="12" t="inlineStr">
        <is>
          <t>EXG-102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</row>
    <row r="105">
      <c r="A105" s="11" t="inlineStr">
        <is>
          <t>EXG-103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</row>
    <row r="106">
      <c r="A106" s="12" t="inlineStr">
        <is>
          <t>EXG-104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</row>
    <row r="107">
      <c r="A107" s="11" t="inlineStr">
        <is>
          <t>EXG-105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</row>
    <row r="108">
      <c r="A108" s="12" t="inlineStr">
        <is>
          <t>EXG-106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</row>
    <row r="109">
      <c r="A109" s="11" t="inlineStr">
        <is>
          <t>EXG-107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</row>
    <row r="110">
      <c r="A110" s="12" t="inlineStr">
        <is>
          <t>EXG-108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</row>
    <row r="111">
      <c r="A111" s="11" t="inlineStr">
        <is>
          <t>EXG-109</t>
        </is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</row>
    <row r="112">
      <c r="A112" s="12" t="inlineStr">
        <is>
          <t>EXG-110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</row>
    <row r="113">
      <c r="A113" s="11" t="inlineStr">
        <is>
          <t>EXG-111</t>
        </is>
      </c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</row>
    <row r="114">
      <c r="A114" s="12" t="inlineStr">
        <is>
          <t>EXG-112</t>
        </is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</row>
    <row r="115">
      <c r="A115" s="11" t="inlineStr">
        <is>
          <t>EXG-113</t>
        </is>
      </c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</row>
    <row r="116">
      <c r="A116" s="12" t="inlineStr">
        <is>
          <t>EXG-114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</row>
    <row r="117">
      <c r="A117" s="11" t="inlineStr">
        <is>
          <t>EXG-115</t>
        </is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</row>
    <row r="118">
      <c r="A118" s="12" t="inlineStr">
        <is>
          <t>EXG-116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</row>
    <row r="119">
      <c r="A119" s="11" t="inlineStr">
        <is>
          <t>EXG-117</t>
        </is>
      </c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</row>
    <row r="120">
      <c r="A120" s="12" t="inlineStr">
        <is>
          <t>EXG-118</t>
        </is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</row>
    <row r="121">
      <c r="A121" s="11" t="inlineStr">
        <is>
          <t>EXG-119</t>
        </is>
      </c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</row>
    <row r="122">
      <c r="A122" s="12" t="inlineStr">
        <is>
          <t>EXG-120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</row>
    <row r="123">
      <c r="A123" s="11" t="inlineStr">
        <is>
          <t>EXG-121</t>
        </is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</row>
    <row r="124">
      <c r="A124" s="12" t="inlineStr">
        <is>
          <t>EXG-122</t>
        </is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</row>
    <row r="125">
      <c r="A125" s="11" t="inlineStr">
        <is>
          <t>EXG-123</t>
        </is>
      </c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</row>
    <row r="126">
      <c r="A126" s="12" t="inlineStr">
        <is>
          <t>EXG-124</t>
        </is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</row>
    <row r="127">
      <c r="A127" s="11" t="inlineStr">
        <is>
          <t>EXG-125</t>
        </is>
      </c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</row>
    <row r="128">
      <c r="A128" s="12" t="inlineStr">
        <is>
          <t>EXG-126</t>
        </is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</row>
    <row r="129">
      <c r="A129" s="11" t="inlineStr">
        <is>
          <t>EXG-127</t>
        </is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</row>
    <row r="130">
      <c r="A130" s="12" t="inlineStr">
        <is>
          <t>EXG-128</t>
        </is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</row>
    <row r="131">
      <c r="A131" s="11" t="inlineStr">
        <is>
          <t>EXG-129</t>
        </is>
      </c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</row>
    <row r="132">
      <c r="A132" s="12" t="inlineStr">
        <is>
          <t>EXG-130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</row>
    <row r="133">
      <c r="A133" s="11" t="inlineStr">
        <is>
          <t>EXG-131</t>
        </is>
      </c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</row>
    <row r="134">
      <c r="A134" s="12" t="inlineStr">
        <is>
          <t>EXG-132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</row>
    <row r="135">
      <c r="A135" s="11" t="inlineStr">
        <is>
          <t>EXG-133</t>
        </is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</row>
    <row r="136">
      <c r="A136" s="12" t="inlineStr">
        <is>
          <t>EXG-134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</row>
    <row r="137">
      <c r="A137" s="11" t="inlineStr">
        <is>
          <t>EXG-135</t>
        </is>
      </c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</row>
    <row r="138">
      <c r="A138" s="12" t="inlineStr">
        <is>
          <t>EXG-136</t>
        </is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</row>
    <row r="139">
      <c r="A139" s="11" t="inlineStr">
        <is>
          <t>EXG-137</t>
        </is>
      </c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</row>
    <row r="140">
      <c r="A140" s="12" t="inlineStr">
        <is>
          <t>EXG-138</t>
        </is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</row>
    <row r="141">
      <c r="A141" s="11" t="inlineStr">
        <is>
          <t>EXG-139</t>
        </is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</row>
    <row r="142">
      <c r="A142" s="12" t="inlineStr">
        <is>
          <t>EXG-140</t>
        </is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</row>
    <row r="143">
      <c r="A143" s="11" t="inlineStr">
        <is>
          <t>EXG-141</t>
        </is>
      </c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</row>
    <row r="144">
      <c r="A144" s="12" t="inlineStr">
        <is>
          <t>EXG-142</t>
        </is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</row>
    <row r="145">
      <c r="A145" s="11" t="inlineStr">
        <is>
          <t>EXG-143</t>
        </is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</row>
    <row r="146">
      <c r="A146" s="12" t="inlineStr">
        <is>
          <t>EXG-144</t>
        </is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</row>
    <row r="147">
      <c r="A147" s="11" t="inlineStr">
        <is>
          <t>EXG-145</t>
        </is>
      </c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</row>
    <row r="148">
      <c r="A148" s="12" t="inlineStr">
        <is>
          <t>EXG-146</t>
        </is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</row>
    <row r="149">
      <c r="A149" s="11" t="inlineStr">
        <is>
          <t>EXG-147</t>
        </is>
      </c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</row>
    <row r="150">
      <c r="A150" s="12" t="inlineStr">
        <is>
          <t>EXG-148</t>
        </is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</row>
    <row r="151">
      <c r="A151" s="11" t="inlineStr">
        <is>
          <t>EXG-149</t>
        </is>
      </c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</row>
    <row r="152">
      <c r="A152" s="12" t="inlineStr">
        <is>
          <t>EXG-150</t>
        </is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</row>
    <row r="153">
      <c r="A153" s="11" t="inlineStr">
        <is>
          <t>EXG-151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</row>
    <row r="154">
      <c r="A154" s="12" t="inlineStr">
        <is>
          <t>EXG-152</t>
        </is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</row>
    <row r="155">
      <c r="A155" s="11" t="inlineStr">
        <is>
          <t>EXG-153</t>
        </is>
      </c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</row>
    <row r="156">
      <c r="A156" s="12" t="inlineStr">
        <is>
          <t>EXG-154</t>
        </is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</row>
    <row r="157">
      <c r="A157" s="11" t="inlineStr">
        <is>
          <t>EXG-155</t>
        </is>
      </c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</row>
    <row r="158">
      <c r="A158" s="12" t="inlineStr">
        <is>
          <t>EXG-156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</row>
    <row r="159">
      <c r="A159" s="11" t="inlineStr">
        <is>
          <t>EXG-157</t>
        </is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</row>
    <row r="160">
      <c r="A160" s="12" t="inlineStr">
        <is>
          <t>EXG-158</t>
        </is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</row>
    <row r="161">
      <c r="A161" s="11" t="inlineStr">
        <is>
          <t>EXG-159</t>
        </is>
      </c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</row>
    <row r="162">
      <c r="A162" s="12" t="inlineStr">
        <is>
          <t>EXG-160</t>
        </is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</row>
    <row r="163">
      <c r="A163" s="11" t="inlineStr">
        <is>
          <t>EXG-161</t>
        </is>
      </c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</row>
    <row r="164">
      <c r="A164" s="12" t="inlineStr">
        <is>
          <t>EXG-162</t>
        </is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</row>
    <row r="165">
      <c r="A165" s="11" t="inlineStr">
        <is>
          <t>EXG-163</t>
        </is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</row>
    <row r="166">
      <c r="A166" s="12" t="inlineStr">
        <is>
          <t>EXG-164</t>
        </is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</row>
    <row r="167">
      <c r="A167" s="11" t="inlineStr">
        <is>
          <t>EXG-165</t>
        </is>
      </c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</row>
    <row r="168">
      <c r="A168" s="12" t="inlineStr">
        <is>
          <t>EXG-166</t>
        </is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</row>
    <row r="169">
      <c r="A169" s="11" t="inlineStr">
        <is>
          <t>EXG-167</t>
        </is>
      </c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</row>
    <row r="170">
      <c r="A170" s="12" t="inlineStr">
        <is>
          <t>EXG-168</t>
        </is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</row>
    <row r="171">
      <c r="A171" s="11" t="inlineStr">
        <is>
          <t>EXG-169</t>
        </is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</row>
    <row r="172">
      <c r="A172" s="12" t="inlineStr">
        <is>
          <t>EXG-170</t>
        </is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</row>
    <row r="173">
      <c r="A173" s="11" t="inlineStr">
        <is>
          <t>EXG-171</t>
        </is>
      </c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</row>
    <row r="174">
      <c r="A174" s="12" t="inlineStr">
        <is>
          <t>EXG-172</t>
        </is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</row>
    <row r="175">
      <c r="A175" s="11" t="inlineStr">
        <is>
          <t>EXG-173</t>
        </is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</row>
    <row r="176">
      <c r="A176" s="12" t="inlineStr">
        <is>
          <t>EXG-174</t>
        </is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</row>
    <row r="177">
      <c r="A177" s="11" t="inlineStr">
        <is>
          <t>EXG-175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</row>
    <row r="178">
      <c r="A178" s="12" t="inlineStr">
        <is>
          <t>EXG-176</t>
        </is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</row>
    <row r="179">
      <c r="A179" s="11" t="inlineStr">
        <is>
          <t>EXG-177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</row>
    <row r="180">
      <c r="A180" s="12" t="inlineStr">
        <is>
          <t>EXG-178</t>
        </is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</row>
    <row r="181">
      <c r="A181" s="11" t="inlineStr">
        <is>
          <t>EXG-179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</row>
    <row r="182">
      <c r="A182" s="12" t="inlineStr">
        <is>
          <t>EXG-180</t>
        </is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</row>
    <row r="183">
      <c r="A183" s="11" t="inlineStr">
        <is>
          <t>EXG-181</t>
        </is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</row>
    <row r="184">
      <c r="A184" s="12" t="inlineStr">
        <is>
          <t>EXG-182</t>
        </is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</row>
    <row r="185">
      <c r="A185" s="11" t="inlineStr">
        <is>
          <t>EXG-183</t>
        </is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</row>
    <row r="186">
      <c r="A186" s="12" t="inlineStr">
        <is>
          <t>EXG-184</t>
        </is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</row>
    <row r="187">
      <c r="A187" s="11" t="inlineStr">
        <is>
          <t>EXG-185</t>
        </is>
      </c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</row>
    <row r="188">
      <c r="A188" s="12" t="inlineStr">
        <is>
          <t>EXG-186</t>
        </is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</row>
    <row r="189">
      <c r="A189" s="11" t="inlineStr">
        <is>
          <t>EXG-187</t>
        </is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</row>
    <row r="190">
      <c r="A190" s="12" t="inlineStr">
        <is>
          <t>EXG-188</t>
        </is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</row>
    <row r="191">
      <c r="A191" s="11" t="inlineStr">
        <is>
          <t>EXG-189</t>
        </is>
      </c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</row>
    <row r="192">
      <c r="A192" s="12" t="inlineStr">
        <is>
          <t>EXG-190</t>
        </is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</row>
    <row r="193">
      <c r="A193" s="11" t="inlineStr">
        <is>
          <t>EXG-191</t>
        </is>
      </c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</row>
    <row r="194">
      <c r="A194" s="12" t="inlineStr">
        <is>
          <t>EXG-192</t>
        </is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</row>
    <row r="195">
      <c r="A195" s="11" t="inlineStr">
        <is>
          <t>EXG-193</t>
        </is>
      </c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</row>
    <row r="196">
      <c r="A196" s="12" t="inlineStr">
        <is>
          <t>EXG-194</t>
        </is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</row>
    <row r="197">
      <c r="A197" s="11" t="inlineStr">
        <is>
          <t>EXG-195</t>
        </is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</row>
    <row r="198">
      <c r="A198" s="12" t="inlineStr">
        <is>
          <t>EXG-196</t>
        </is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</row>
    <row r="199">
      <c r="A199" s="11" t="inlineStr">
        <is>
          <t>EXG-197</t>
        </is>
      </c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</row>
    <row r="200">
      <c r="A200" s="12" t="inlineStr">
        <is>
          <t>EXG-198</t>
        </is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</row>
    <row r="201">
      <c r="A201" s="11" t="inlineStr">
        <is>
          <t>EXG-199</t>
        </is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</row>
    <row r="202">
      <c r="A202" s="12" t="inlineStr">
        <is>
          <t>EXG-200</t>
        </is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</row>
  </sheetData>
  <autoFilter ref="A1:N202"/>
  <mergeCells count="1">
    <mergeCell ref="A1:N1"/>
  </mergeCells>
  <conditionalFormatting sqref="H3:H202">
    <cfRule type="cellIs" priority="1" operator="equal" dxfId="0">
      <formula>"Validé"</formula>
    </cfRule>
    <cfRule type="cellIs" priority="2" operator="equal" dxfId="1">
      <formula>"Abandonné"</formula>
    </cfRule>
    <cfRule type="cellIs" priority="3" operator="equal" dxfId="2">
      <formula>"En révision"</formula>
    </cfRule>
    <cfRule type="cellIs" priority="4" operator="equal" dxfId="3">
      <formula>"Gelé"</formula>
    </cfRule>
  </conditionalFormatting>
  <conditionalFormatting sqref="E3:E202">
    <cfRule type="cellIs" priority="5" operator="equal" dxfId="1">
      <formula>"Critique"</formula>
    </cfRule>
    <cfRule type="cellIs" priority="6" operator="equal" dxfId="2">
      <formula>"Haute"</formula>
    </cfRule>
    <cfRule type="cellIs" priority="7" operator="equal" dxfId="4">
      <formula>"Moyenne"</formula>
    </cfRule>
    <cfRule type="cellIs" priority="8" operator="equal" dxfId="0">
      <formula>"Faible"</formula>
    </cfRule>
  </conditionalFormatting>
  <dataValidations count="5">
    <dataValidation sqref="B3:B202" showDropDown="0" showInputMessage="1" showErrorMessage="1" allowBlank="1" errorTitle="Erreur de saisie" error="Valeur non autorisée. Choisissez dans la liste." promptTitle="Catégorie" prompt="Choisir la catégorie" type="list">
      <formula1>"Fonctionnel,Non-fonctionnel,Réglementaire,Technique,Sécurité"</formula1>
    </dataValidation>
    <dataValidation sqref="E3:E202" showDropDown="0" showInputMessage="1" showErrorMessage="1" allowBlank="1" errorTitle="Erreur de saisie" error="Valeur non autorisée. Choisissez dans la liste." promptTitle="Priorité" prompt="Choisir la priorité" type="list">
      <formula1>"Critique,Haute,Moyenne,Faible"</formula1>
    </dataValidation>
    <dataValidation sqref="F3:F202" showDropDown="0" showInputMessage="1" showErrorMessage="1" allowBlank="1" errorTitle="Erreur de saisie" error="Valeur non autorisée. Choisissez dans la liste." promptTitle="Source" prompt="Choisir la source" type="list">
      <formula1>"Client,MOA,MOE,Réglementaire,Interne"</formula1>
    </dataValidation>
    <dataValidation sqref="G3:G202" showDropDown="0" showInputMessage="1" showErrorMessage="1" allowBlank="1" errorTitle="Erreur de saisie" error="Valeur non autorisée. Choisissez dans la liste." promptTitle="Phase" prompt="Phase du cycle en V" type="list">
      <formula1>"Définition,Conception,Réalisation,Tests,Recette,Déploiement"</formula1>
    </dataValidation>
    <dataValidation sqref="H3:H202" showDropDown="0" showInputMessage="1" showErrorMessage="1" allowBlank="1" errorTitle="Erreur de saisie" error="Valeur non autorisée. Choisissez dans la liste." promptTitle="Statut" prompt="Statut de l'exigence" type="list">
      <formula1>"En attente,Validé,Gelé,Abandonné,En révision"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9" t="inlineStr">
        <is>
          <t>TABLEAU DE BORD — Avancement par Phase du Cycle en V</t>
        </is>
      </c>
    </row>
    <row r="2">
      <c r="A2" s="13" t="inlineStr">
        <is>
          <t>⟳  Ce tableau se met à jour automatiquement dès que vous ajoutez des exigences dans l'onglet 01_EXIGENCES</t>
        </is>
      </c>
    </row>
    <row r="3">
      <c r="A3" s="10" t="inlineStr">
        <is>
          <t>Phase V-cycle</t>
        </is>
      </c>
      <c r="B3" s="10" t="inlineStr">
        <is>
          <t>Total EXG</t>
        </is>
      </c>
      <c r="C3" s="10" t="inlineStr">
        <is>
          <t>Validées</t>
        </is>
      </c>
      <c r="D3" s="10" t="inlineStr">
        <is>
          <t>En attente</t>
        </is>
      </c>
      <c r="E3" s="10" t="inlineStr">
        <is>
          <t>En révision</t>
        </is>
      </c>
      <c r="F3" s="10" t="inlineStr">
        <is>
          <t>Gelées</t>
        </is>
      </c>
      <c r="G3" s="10" t="inlineStr">
        <is>
          <t>Abandonnées</t>
        </is>
      </c>
      <c r="H3" s="10" t="inlineStr">
        <is>
          <t>% Avancement</t>
        </is>
      </c>
    </row>
    <row r="4">
      <c r="A4" s="14" t="inlineStr">
        <is>
          <t>Définition</t>
        </is>
      </c>
      <c r="B4" s="14">
        <f>COUNTIF('01_EXIGENCES'!$G$3:$G$202,"Définition")</f>
        <v/>
      </c>
      <c r="C4" s="14">
        <f>COUNTIFS('01_EXIGENCES'!$G$3:$G$202,"Définition",'01_EXIGENCES'!$H$3:$H$202,"Validé")</f>
        <v/>
      </c>
      <c r="D4" s="14">
        <f>COUNTIFS('01_EXIGENCES'!$G$3:$G$202,"Définition",'01_EXIGENCES'!$H$3:$H$202,"En attente")</f>
        <v/>
      </c>
      <c r="E4" s="14">
        <f>COUNTIFS('01_EXIGENCES'!$G$3:$G$202,"Définition",'01_EXIGENCES'!$H$3:$H$202,"En révision")</f>
        <v/>
      </c>
      <c r="F4" s="14">
        <f>COUNTIFS('01_EXIGENCES'!$G$3:$G$202,"Définition",'01_EXIGENCES'!$H$3:$H$202,"Gelé")</f>
        <v/>
      </c>
      <c r="G4" s="14">
        <f>COUNTIFS('01_EXIGENCES'!$G$3:$G$202,"Définition",'01_EXIGENCES'!$H$3:$H$202,"Abandonné")</f>
        <v/>
      </c>
      <c r="H4" s="15">
        <f>IF(B4=0,0,C4/B4)</f>
        <v/>
      </c>
    </row>
    <row r="5">
      <c r="A5" s="16" t="inlineStr">
        <is>
          <t>Conception</t>
        </is>
      </c>
      <c r="B5" s="16">
        <f>COUNTIF('01_EXIGENCES'!$G$3:$G$202,"Conception")</f>
        <v/>
      </c>
      <c r="C5" s="16">
        <f>COUNTIFS('01_EXIGENCES'!$G$3:$G$202,"Conception",'01_EXIGENCES'!$H$3:$H$202,"Validé")</f>
        <v/>
      </c>
      <c r="D5" s="16">
        <f>COUNTIFS('01_EXIGENCES'!$G$3:$G$202,"Conception",'01_EXIGENCES'!$H$3:$H$202,"En attente")</f>
        <v/>
      </c>
      <c r="E5" s="16">
        <f>COUNTIFS('01_EXIGENCES'!$G$3:$G$202,"Conception",'01_EXIGENCES'!$H$3:$H$202,"En révision")</f>
        <v/>
      </c>
      <c r="F5" s="16">
        <f>COUNTIFS('01_EXIGENCES'!$G$3:$G$202,"Conception",'01_EXIGENCES'!$H$3:$H$202,"Gelé")</f>
        <v/>
      </c>
      <c r="G5" s="16">
        <f>COUNTIFS('01_EXIGENCES'!$G$3:$G$202,"Conception",'01_EXIGENCES'!$H$3:$H$202,"Abandonné")</f>
        <v/>
      </c>
      <c r="H5" s="17">
        <f>IF(B5=0,0,C5/B5)</f>
        <v/>
      </c>
    </row>
    <row r="6">
      <c r="A6" s="14" t="inlineStr">
        <is>
          <t>Réalisation</t>
        </is>
      </c>
      <c r="B6" s="14">
        <f>COUNTIF('01_EXIGENCES'!$G$3:$G$202,"Réalisation")</f>
        <v/>
      </c>
      <c r="C6" s="14">
        <f>COUNTIFS('01_EXIGENCES'!$G$3:$G$202,"Réalisation",'01_EXIGENCES'!$H$3:$H$202,"Validé")</f>
        <v/>
      </c>
      <c r="D6" s="14">
        <f>COUNTIFS('01_EXIGENCES'!$G$3:$G$202,"Réalisation",'01_EXIGENCES'!$H$3:$H$202,"En attente")</f>
        <v/>
      </c>
      <c r="E6" s="14">
        <f>COUNTIFS('01_EXIGENCES'!$G$3:$G$202,"Réalisation",'01_EXIGENCES'!$H$3:$H$202,"En révision")</f>
        <v/>
      </c>
      <c r="F6" s="14">
        <f>COUNTIFS('01_EXIGENCES'!$G$3:$G$202,"Réalisation",'01_EXIGENCES'!$H$3:$H$202,"Gelé")</f>
        <v/>
      </c>
      <c r="G6" s="14">
        <f>COUNTIFS('01_EXIGENCES'!$G$3:$G$202,"Réalisation",'01_EXIGENCES'!$H$3:$H$202,"Abandonné")</f>
        <v/>
      </c>
      <c r="H6" s="15">
        <f>IF(B6=0,0,C6/B6)</f>
        <v/>
      </c>
    </row>
    <row r="7">
      <c r="A7" s="16" t="inlineStr">
        <is>
          <t>Tests</t>
        </is>
      </c>
      <c r="B7" s="16">
        <f>COUNTIF('01_EXIGENCES'!$G$3:$G$202,"Tests")</f>
        <v/>
      </c>
      <c r="C7" s="16">
        <f>COUNTIFS('01_EXIGENCES'!$G$3:$G$202,"Tests",'01_EXIGENCES'!$H$3:$H$202,"Validé")</f>
        <v/>
      </c>
      <c r="D7" s="16">
        <f>COUNTIFS('01_EXIGENCES'!$G$3:$G$202,"Tests",'01_EXIGENCES'!$H$3:$H$202,"En attente")</f>
        <v/>
      </c>
      <c r="E7" s="16">
        <f>COUNTIFS('01_EXIGENCES'!$G$3:$G$202,"Tests",'01_EXIGENCES'!$H$3:$H$202,"En révision")</f>
        <v/>
      </c>
      <c r="F7" s="16">
        <f>COUNTIFS('01_EXIGENCES'!$G$3:$G$202,"Tests",'01_EXIGENCES'!$H$3:$H$202,"Gelé")</f>
        <v/>
      </c>
      <c r="G7" s="16">
        <f>COUNTIFS('01_EXIGENCES'!$G$3:$G$202,"Tests",'01_EXIGENCES'!$H$3:$H$202,"Abandonné")</f>
        <v/>
      </c>
      <c r="H7" s="17">
        <f>IF(B7=0,0,C7/B7)</f>
        <v/>
      </c>
    </row>
    <row r="8">
      <c r="A8" s="14" t="inlineStr">
        <is>
          <t>Recette</t>
        </is>
      </c>
      <c r="B8" s="14">
        <f>COUNTIF('01_EXIGENCES'!$G$3:$G$202,"Recette")</f>
        <v/>
      </c>
      <c r="C8" s="14">
        <f>COUNTIFS('01_EXIGENCES'!$G$3:$G$202,"Recette",'01_EXIGENCES'!$H$3:$H$202,"Validé")</f>
        <v/>
      </c>
      <c r="D8" s="14">
        <f>COUNTIFS('01_EXIGENCES'!$G$3:$G$202,"Recette",'01_EXIGENCES'!$H$3:$H$202,"En attente")</f>
        <v/>
      </c>
      <c r="E8" s="14">
        <f>COUNTIFS('01_EXIGENCES'!$G$3:$G$202,"Recette",'01_EXIGENCES'!$H$3:$H$202,"En révision")</f>
        <v/>
      </c>
      <c r="F8" s="14">
        <f>COUNTIFS('01_EXIGENCES'!$G$3:$G$202,"Recette",'01_EXIGENCES'!$H$3:$H$202,"Gelé")</f>
        <v/>
      </c>
      <c r="G8" s="14">
        <f>COUNTIFS('01_EXIGENCES'!$G$3:$G$202,"Recette",'01_EXIGENCES'!$H$3:$H$202,"Abandonné")</f>
        <v/>
      </c>
      <c r="H8" s="15">
        <f>IF(B8=0,0,C8/B8)</f>
        <v/>
      </c>
    </row>
    <row r="9">
      <c r="A9" s="16" t="inlineStr">
        <is>
          <t>Déploiement</t>
        </is>
      </c>
      <c r="B9" s="16">
        <f>COUNTIF('01_EXIGENCES'!$G$3:$G$202,"Déploiement")</f>
        <v/>
      </c>
      <c r="C9" s="16">
        <f>COUNTIFS('01_EXIGENCES'!$G$3:$G$202,"Déploiement",'01_EXIGENCES'!$H$3:$H$202,"Validé")</f>
        <v/>
      </c>
      <c r="D9" s="16">
        <f>COUNTIFS('01_EXIGENCES'!$G$3:$G$202,"Déploiement",'01_EXIGENCES'!$H$3:$H$202,"En attente")</f>
        <v/>
      </c>
      <c r="E9" s="16">
        <f>COUNTIFS('01_EXIGENCES'!$G$3:$G$202,"Déploiement",'01_EXIGENCES'!$H$3:$H$202,"En révision")</f>
        <v/>
      </c>
      <c r="F9" s="16">
        <f>COUNTIFS('01_EXIGENCES'!$G$3:$G$202,"Déploiement",'01_EXIGENCES'!$H$3:$H$202,"Gelé")</f>
        <v/>
      </c>
      <c r="G9" s="16">
        <f>COUNTIFS('01_EXIGENCES'!$G$3:$G$202,"Déploiement",'01_EXIGENCES'!$H$3:$H$202,"Abandonné")</f>
        <v/>
      </c>
      <c r="H9" s="17">
        <f>IF(B9=0,0,C9/B9)</f>
        <v/>
      </c>
    </row>
    <row r="10">
      <c r="A10" s="18" t="inlineStr">
        <is>
          <t>TOTAL</t>
        </is>
      </c>
      <c r="B10" s="18">
        <f>SUM(B4:B9)</f>
        <v/>
      </c>
      <c r="C10" s="18">
        <f>SUM(C4:C9)</f>
        <v/>
      </c>
      <c r="D10" s="18">
        <f>SUM(D4:D9)</f>
        <v/>
      </c>
      <c r="E10" s="18">
        <f>SUM(E4:E9)</f>
        <v/>
      </c>
      <c r="F10" s="18">
        <f>SUM(F4:F9)</f>
        <v/>
      </c>
      <c r="G10" s="18">
        <f>SUM(G4:G9)</f>
        <v/>
      </c>
      <c r="H10" s="19">
        <f>IF(B10=0,0,C10/B10)</f>
        <v/>
      </c>
    </row>
    <row r="13">
      <c r="A13" s="20" t="inlineStr">
        <is>
          <t>Légende des statuts :</t>
        </is>
      </c>
    </row>
    <row r="14">
      <c r="A14" s="21" t="inlineStr">
        <is>
          <t>Validé</t>
        </is>
      </c>
      <c r="B14" s="22" t="inlineStr">
        <is>
          <t>En attente</t>
        </is>
      </c>
      <c r="C14" s="23" t="inlineStr">
        <is>
          <t>En révision</t>
        </is>
      </c>
      <c r="D14" s="24" t="inlineStr">
        <is>
          <t>Gelé</t>
        </is>
      </c>
      <c r="E14" s="25" t="inlineStr">
        <is>
          <t>Abandonné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2026-04-19T21:42:31Z</dcterms:created>
  <dcterms:modified xmlns:dcterms="http://purl.org/dc/terms/" xmlns:xsi="http://www.w3.org/2001/XMLSchema-instance" xsi:type="dcterms:W3CDTF">2026-04-19T21:42:32Z</dcterms:modified>
</cp:coreProperties>
</file>