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GENDE" sheetId="1" state="visible" r:id="rId1"/>
    <sheet xmlns:r="http://schemas.openxmlformats.org/officeDocument/2006/relationships" name="01_ANOMALIES" sheetId="2" state="visible" r:id="rId2"/>
    <sheet xmlns:r="http://schemas.openxmlformats.org/officeDocument/2006/relationships" name="02_SYNTHESE_PHASE" sheetId="3" state="visible" r:id="rId3"/>
    <sheet xmlns:r="http://schemas.openxmlformats.org/officeDocument/2006/relationships" name="03_HISTORIQUE" sheetId="4" state="visible" r:id="rId4"/>
  </sheets>
  <definedNames>
    <definedName name="_xlnm._FilterDatabase" localSheetId="1" hidden="1">'01_ANOMALIES'!$A$1:$P$202</definedName>
    <definedName name="_xlnm._FilterDatabase" localSheetId="3" hidden="1">'03_HISTORIQUE'!$A$3:$G$3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C5700"/>
      <sz val="10"/>
    </font>
    <font>
      <name val="Arial"/>
      <b val="1"/>
      <color rgb="001F4E79"/>
      <sz val="12"/>
    </font>
    <font>
      <name val="Arial"/>
      <color rgb="001A1A1A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AAAAAA"/>
      <sz val="10"/>
    </font>
    <font>
      <name val="Arial"/>
      <i val="1"/>
      <color rgb="00444444"/>
      <sz val="9"/>
    </font>
    <font>
      <name val="Arial"/>
      <b val="1"/>
      <color rgb="001A1A1A"/>
      <sz val="10"/>
    </font>
    <font>
      <name val="Arial"/>
      <b val="1"/>
      <color rgb="001F4E79"/>
      <sz val="10"/>
    </font>
    <font>
      <name val="Arial"/>
      <color rgb="001A1A1A"/>
      <sz val="9"/>
    </font>
    <font>
      <name val="Arial"/>
      <i val="1"/>
      <color rgb="009C57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C00000"/>
      </patternFill>
    </fill>
    <fill>
      <patternFill patternType="solid">
        <fgColor rgb="00F5F5F5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7030A0"/>
      </patternFill>
    </fill>
  </fills>
  <borders count="8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/>
      <right/>
      <top style="thin">
        <color rgb="002E75B6"/>
      </top>
      <bottom/>
      <diagonal/>
    </border>
    <border>
      <left/>
      <right style="thin">
        <color rgb="002E75B6"/>
      </right>
      <top style="thin">
        <color rgb="002E75B6"/>
      </top>
      <bottom/>
      <diagonal/>
    </border>
    <border>
      <left/>
      <right/>
      <top style="thin">
        <color rgb="002E75B6"/>
      </top>
      <bottom style="thin">
        <color rgb="002E75B6"/>
      </bottom>
      <diagonal/>
    </border>
    <border>
      <left/>
      <right style="thin">
        <color rgb="002E75B6"/>
      </right>
      <top style="thin">
        <color rgb="002E75B6"/>
      </top>
      <bottom style="thin">
        <color rgb="002E75B6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6" pivotButton="0" quotePrefix="0" xfId="0"/>
    <xf numFmtId="0" fontId="4" fillId="6" borderId="6" pivotButton="0" quotePrefix="0" xfId="0"/>
    <xf numFmtId="0" fontId="4" fillId="0" borderId="6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9" fontId="4" fillId="5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9" fontId="4" fillId="6" borderId="6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9" fontId="1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1" fillId="9" borderId="6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11" fillId="10" borderId="6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6E4F7"/>
        </patternFill>
      </fill>
    </dxf>
    <dxf>
      <fill>
        <patternFill patternType="solid">
          <fgColor rgb="00FFFF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LÉGENDE &amp; RÉFÉRENTIEL — Fichier ANOMALIES_BUGS</t>
        </is>
      </c>
    </row>
    <row r="2">
      <c r="A2" s="2" t="inlineStr">
        <is>
          <t>⚠  Ne pas modifier cet onglet sans validation du chef de projet</t>
        </is>
      </c>
    </row>
    <row r="4">
      <c r="A4" s="3" t="inlineStr">
        <is>
          <t>📋  Sévérité</t>
        </is>
      </c>
      <c r="B4" s="4" t="n"/>
      <c r="C4" s="4" t="n"/>
      <c r="D4" s="4" t="n"/>
      <c r="E4" s="4" t="n"/>
      <c r="F4" s="5" t="n"/>
    </row>
    <row r="5">
      <c r="B5" s="6" t="inlineStr">
        <is>
          <t>Bloquant</t>
        </is>
      </c>
    </row>
    <row r="6">
      <c r="B6" s="7" t="inlineStr">
        <is>
          <t>Majeur</t>
        </is>
      </c>
    </row>
    <row r="7">
      <c r="B7" s="6" t="inlineStr">
        <is>
          <t>Mineur</t>
        </is>
      </c>
    </row>
    <row r="8">
      <c r="B8" s="7" t="inlineStr">
        <is>
          <t>Cosmétique</t>
        </is>
      </c>
    </row>
    <row r="10">
      <c r="A10" s="3" t="inlineStr">
        <is>
          <t>📋  Priorité</t>
        </is>
      </c>
      <c r="B10" s="4" t="n"/>
      <c r="C10" s="4" t="n"/>
      <c r="D10" s="4" t="n"/>
      <c r="E10" s="4" t="n"/>
      <c r="F10" s="5" t="n"/>
    </row>
    <row r="11">
      <c r="B11" s="6" t="inlineStr">
        <is>
          <t>Critique</t>
        </is>
      </c>
    </row>
    <row r="12">
      <c r="B12" s="7" t="inlineStr">
        <is>
          <t>Haute</t>
        </is>
      </c>
    </row>
    <row r="13">
      <c r="B13" s="6" t="inlineStr">
        <is>
          <t>Moyenne</t>
        </is>
      </c>
    </row>
    <row r="14">
      <c r="B14" s="7" t="inlineStr">
        <is>
          <t>Faible</t>
        </is>
      </c>
    </row>
    <row r="16">
      <c r="A16" s="3" t="inlineStr">
        <is>
          <t>📋  Statut</t>
        </is>
      </c>
      <c r="B16" s="4" t="n"/>
      <c r="C16" s="4" t="n"/>
      <c r="D16" s="4" t="n"/>
      <c r="E16" s="4" t="n"/>
      <c r="F16" s="5" t="n"/>
    </row>
    <row r="17">
      <c r="B17" s="6" t="inlineStr">
        <is>
          <t>Ouvert</t>
        </is>
      </c>
    </row>
    <row r="18">
      <c r="B18" s="7" t="inlineStr">
        <is>
          <t>En cours</t>
        </is>
      </c>
    </row>
    <row r="19">
      <c r="B19" s="6" t="inlineStr">
        <is>
          <t>Résolu</t>
        </is>
      </c>
    </row>
    <row r="20">
      <c r="B20" s="7" t="inlineStr">
        <is>
          <t>Fermé</t>
        </is>
      </c>
    </row>
    <row r="21">
      <c r="B21" s="6" t="inlineStr">
        <is>
          <t>Rejeté</t>
        </is>
      </c>
    </row>
    <row r="23">
      <c r="A23" s="3" t="inlineStr">
        <is>
          <t>📋  Phase détection</t>
        </is>
      </c>
      <c r="B23" s="4" t="n"/>
      <c r="C23" s="4" t="n"/>
      <c r="D23" s="4" t="n"/>
      <c r="E23" s="4" t="n"/>
      <c r="F23" s="5" t="n"/>
    </row>
    <row r="24">
      <c r="B24" s="6" t="inlineStr">
        <is>
          <t>Définition</t>
        </is>
      </c>
    </row>
    <row r="25">
      <c r="B25" s="7" t="inlineStr">
        <is>
          <t>Conception</t>
        </is>
      </c>
    </row>
    <row r="26">
      <c r="B26" s="6" t="inlineStr">
        <is>
          <t>Réalisation</t>
        </is>
      </c>
    </row>
    <row r="27">
      <c r="B27" s="7" t="inlineStr">
        <is>
          <t>Tests</t>
        </is>
      </c>
    </row>
    <row r="28">
      <c r="B28" s="6" t="inlineStr">
        <is>
          <t>Recette</t>
        </is>
      </c>
    </row>
    <row r="29">
      <c r="B29" s="7" t="inlineStr">
        <is>
          <t>Déploiement</t>
        </is>
      </c>
    </row>
    <row r="31">
      <c r="A31" s="3" t="inlineStr">
        <is>
          <t>📋  Phase origine</t>
        </is>
      </c>
      <c r="B31" s="4" t="n"/>
      <c r="C31" s="4" t="n"/>
      <c r="D31" s="4" t="n"/>
      <c r="E31" s="4" t="n"/>
      <c r="F31" s="5" t="n"/>
    </row>
    <row r="32">
      <c r="B32" s="6" t="inlineStr">
        <is>
          <t>Définition</t>
        </is>
      </c>
    </row>
    <row r="33">
      <c r="B33" s="7" t="inlineStr">
        <is>
          <t>Conception</t>
        </is>
      </c>
    </row>
    <row r="34">
      <c r="B34" s="6" t="inlineStr">
        <is>
          <t>Réalisation</t>
        </is>
      </c>
    </row>
    <row r="35">
      <c r="B35" s="7" t="inlineStr">
        <is>
          <t>Tests</t>
        </is>
      </c>
    </row>
    <row r="36">
      <c r="B36" s="6" t="inlineStr">
        <is>
          <t>Recette</t>
        </is>
      </c>
    </row>
    <row r="37">
      <c r="B37" s="7" t="inlineStr">
        <is>
          <t>Inconnu</t>
        </is>
      </c>
    </row>
    <row r="39">
      <c r="A39" s="3" t="inlineStr">
        <is>
          <t>📌  Convention d'identifiant &amp; règles</t>
        </is>
      </c>
      <c r="B39" s="4" t="n"/>
      <c r="C39" s="4" t="n"/>
      <c r="D39" s="4" t="n"/>
      <c r="E39" s="4" t="n"/>
      <c r="F39" s="5" t="n"/>
    </row>
    <row r="40">
      <c r="B40" s="8" t="inlineStr">
        <is>
          <t>Format ID : ANO-NNN  (ex. ANO-001)</t>
        </is>
      </c>
    </row>
    <row r="41">
      <c r="B41" s="8" t="inlineStr">
        <is>
          <t>L'ID est unique et permanent — jamais réutilisé même si l'anomalie est fermée</t>
        </is>
      </c>
    </row>
    <row r="42">
      <c r="B42" s="8" t="inlineStr">
        <is>
          <t>Colonne ID_EXG lié : référence l'ID de l'exigence impactée (ex. EXG-001)</t>
        </is>
      </c>
    </row>
    <row r="43">
      <c r="B43" s="8" t="inlineStr">
        <is>
          <t>Toute modification de statut doit être recopiée dans l'onglet 03_HISTORIQUE</t>
        </is>
      </c>
    </row>
    <row r="44">
      <c r="B44" s="8" t="inlineStr">
        <is>
          <t>Sévérité Bloquant = escalade immédiate au chef de projet</t>
        </is>
      </c>
    </row>
  </sheetData>
  <mergeCells count="8">
    <mergeCell ref="A2:F2"/>
    <mergeCell ref="A16:F16"/>
    <mergeCell ref="A10:F10"/>
    <mergeCell ref="A1:F1"/>
    <mergeCell ref="A23:F23"/>
    <mergeCell ref="A31:F31"/>
    <mergeCell ref="A4:F4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P2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32" customWidth="1" min="5" max="5"/>
    <col width="48" customWidth="1" min="6" max="6"/>
    <col width="14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6" customWidth="1" min="15" max="15"/>
    <col width="35" customWidth="1" min="16" max="16"/>
  </cols>
  <sheetData>
    <row r="1" ht="28" customHeight="1">
      <c r="A1" s="9" t="inlineStr">
        <is>
          <t>REGISTRE DES ANOMALIES &amp; BUGS — Cycle en V</t>
        </is>
      </c>
    </row>
    <row r="2" ht="22" customHeight="1">
      <c r="A2" s="10" t="inlineStr">
        <is>
          <t>ID_ANO</t>
        </is>
      </c>
      <c r="B2" s="10" t="inlineStr">
        <is>
          <t>Date détection</t>
        </is>
      </c>
      <c r="C2" s="10" t="inlineStr">
        <is>
          <t>Phase détection</t>
        </is>
      </c>
      <c r="D2" s="10" t="inlineStr">
        <is>
          <t>Phase origine</t>
        </is>
      </c>
      <c r="E2" s="10" t="inlineStr">
        <is>
          <t>Titre</t>
        </is>
      </c>
      <c r="F2" s="10" t="inlineStr">
        <is>
          <t>Description / Reproduction</t>
        </is>
      </c>
      <c r="G2" s="10" t="inlineStr">
        <is>
          <t>Sévérité</t>
        </is>
      </c>
      <c r="H2" s="10" t="inlineStr">
        <is>
          <t>Priorité</t>
        </is>
      </c>
      <c r="I2" s="10" t="inlineStr">
        <is>
          <t>Statut</t>
        </is>
      </c>
      <c r="J2" s="10" t="inlineStr">
        <is>
          <t>ID_EXG lié</t>
        </is>
      </c>
      <c r="K2" s="10" t="inlineStr">
        <is>
          <t>Assigné à</t>
        </is>
      </c>
      <c r="L2" s="10" t="inlineStr">
        <is>
          <t>Date cible</t>
        </is>
      </c>
      <c r="M2" s="10" t="inlineStr">
        <is>
          <t>Date résolution</t>
        </is>
      </c>
      <c r="N2" s="10" t="inlineStr">
        <is>
          <t>Version détection</t>
        </is>
      </c>
      <c r="O2" s="10" t="inlineStr">
        <is>
          <t>Version correction</t>
        </is>
      </c>
      <c r="P2" s="10" t="inlineStr">
        <is>
          <t>Commentaires</t>
        </is>
      </c>
    </row>
    <row r="3">
      <c r="A3" s="11" t="inlineStr">
        <is>
          <t>ANO-001</t>
        </is>
      </c>
      <c r="B3" s="11" t="inlineStr">
        <is>
          <t>15/04/2026</t>
        </is>
      </c>
      <c r="C3" s="11" t="inlineStr">
        <is>
          <t>Tests</t>
        </is>
      </c>
      <c r="D3" s="11" t="inlineStr">
        <is>
          <t>Réalisation</t>
        </is>
      </c>
      <c r="E3" s="11" t="inlineStr">
        <is>
          <t>Crash à la connexion SSO</t>
        </is>
      </c>
      <c r="F3" s="11" t="inlineStr">
        <is>
          <t>Reproduire en : 1) Ouvrir l'app  2) Cliquer Connexion SSO  3) Erreur 500. Message : NullPointerException</t>
        </is>
      </c>
      <c r="G3" s="11" t="inlineStr">
        <is>
          <t>Bloquant</t>
        </is>
      </c>
      <c r="H3" s="11" t="inlineStr">
        <is>
          <t>Critique</t>
        </is>
      </c>
      <c r="I3" s="11" t="inlineStr">
        <is>
          <t>Ouvert</t>
        </is>
      </c>
      <c r="J3" s="11" t="inlineStr">
        <is>
          <t>EXG-001</t>
        </is>
      </c>
      <c r="K3" s="11" t="inlineStr">
        <is>
          <t>M. Bernard</t>
        </is>
      </c>
      <c r="L3" s="11" t="inlineStr">
        <is>
          <t>20/04/2026</t>
        </is>
      </c>
      <c r="M3" s="11" t="inlineStr"/>
      <c r="N3" s="11" t="inlineStr">
        <is>
          <t>v1.2</t>
        </is>
      </c>
      <c r="O3" s="11" t="inlineStr"/>
      <c r="P3" s="11" t="inlineStr">
        <is>
          <t>À corriger avant validation recette</t>
        </is>
      </c>
    </row>
    <row r="4">
      <c r="A4" s="12" t="inlineStr">
        <is>
          <t>ANO-002</t>
        </is>
      </c>
      <c r="B4" s="12" t="inlineStr">
        <is>
          <t>16/04/2026</t>
        </is>
      </c>
      <c r="C4" s="12" t="inlineStr">
        <is>
          <t>Tests</t>
        </is>
      </c>
      <c r="D4" s="12" t="inlineStr">
        <is>
          <t>Conception</t>
        </is>
      </c>
      <c r="E4" s="12" t="inlineStr">
        <is>
          <t>Export PDF tronqué après 50 lignes</t>
        </is>
      </c>
      <c r="F4" s="12" t="inlineStr">
        <is>
          <t>Le PDF exporté ne contient que les 50 premières lignes du rapport</t>
        </is>
      </c>
      <c r="G4" s="12" t="inlineStr">
        <is>
          <t>Majeur</t>
        </is>
      </c>
      <c r="H4" s="12" t="inlineStr">
        <is>
          <t>Haute</t>
        </is>
      </c>
      <c r="I4" s="12" t="inlineStr">
        <is>
          <t>En cours</t>
        </is>
      </c>
      <c r="J4" s="12" t="inlineStr">
        <is>
          <t>EXG-004</t>
        </is>
      </c>
      <c r="K4" s="12" t="inlineStr">
        <is>
          <t>M. Petit</t>
        </is>
      </c>
      <c r="L4" s="12" t="inlineStr">
        <is>
          <t>22/04/2026</t>
        </is>
      </c>
      <c r="M4" s="12" t="inlineStr"/>
      <c r="N4" s="12" t="inlineStr">
        <is>
          <t>v1.2</t>
        </is>
      </c>
      <c r="O4" s="12" t="inlineStr"/>
      <c r="P4" s="12" t="inlineStr">
        <is>
          <t>Correction en cours – PR #142</t>
        </is>
      </c>
    </row>
    <row r="5">
      <c r="A5" s="11" t="inlineStr">
        <is>
          <t>ANO-003</t>
        </is>
      </c>
      <c r="B5" s="11" t="inlineStr">
        <is>
          <t>17/04/2026</t>
        </is>
      </c>
      <c r="C5" s="11" t="inlineStr">
        <is>
          <t>Recette</t>
        </is>
      </c>
      <c r="D5" s="11" t="inlineStr">
        <is>
          <t>Réalisation</t>
        </is>
      </c>
      <c r="E5" s="11" t="inlineStr">
        <is>
          <t>Logo mal centré sur mobile</t>
        </is>
      </c>
      <c r="F5" s="11" t="inlineStr">
        <is>
          <t>Le logo apparaît décalé de 5px à gauche sur Safari iOS 17</t>
        </is>
      </c>
      <c r="G5" s="11" t="inlineStr">
        <is>
          <t>Cosmétique</t>
        </is>
      </c>
      <c r="H5" s="11" t="inlineStr">
        <is>
          <t>Faible</t>
        </is>
      </c>
      <c r="I5" s="11" t="inlineStr">
        <is>
          <t>Ouvert</t>
        </is>
      </c>
      <c r="J5" s="11" t="inlineStr"/>
      <c r="K5" s="11" t="inlineStr">
        <is>
          <t>Mme. Roux</t>
        </is>
      </c>
      <c r="L5" s="11" t="inlineStr">
        <is>
          <t>30/04/2026</t>
        </is>
      </c>
      <c r="M5" s="11" t="inlineStr"/>
      <c r="N5" s="11" t="inlineStr">
        <is>
          <t>v1.2</t>
        </is>
      </c>
      <c r="O5" s="11" t="inlineStr"/>
      <c r="P5" s="11" t="inlineStr">
        <is>
          <t>Non bloquant pour la livraison</t>
        </is>
      </c>
    </row>
    <row r="6">
      <c r="A6" s="12" t="inlineStr">
        <is>
          <t>ANO-004</t>
        </is>
      </c>
      <c r="B6" s="12" t="inlineStr">
        <is>
          <t>18/04/2026</t>
        </is>
      </c>
      <c r="C6" s="12" t="inlineStr">
        <is>
          <t>Tests</t>
        </is>
      </c>
      <c r="D6" s="12" t="inlineStr">
        <is>
          <t>Conception</t>
        </is>
      </c>
      <c r="E6" s="12" t="inlineStr">
        <is>
          <t>Droits d'accès : utilisateur voit données tiers</t>
        </is>
      </c>
      <c r="F6" s="12" t="inlineStr">
        <is>
          <t>Un utilisateur du périmètre A peut consulter les données du périmètre B</t>
        </is>
      </c>
      <c r="G6" s="12" t="inlineStr">
        <is>
          <t>Bloquant</t>
        </is>
      </c>
      <c r="H6" s="12" t="inlineStr">
        <is>
          <t>Critique</t>
        </is>
      </c>
      <c r="I6" s="12" t="inlineStr">
        <is>
          <t>En cours</t>
        </is>
      </c>
      <c r="J6" s="12" t="inlineStr">
        <is>
          <t>EXG-005</t>
        </is>
      </c>
      <c r="K6" s="12" t="inlineStr">
        <is>
          <t>M. Bernard</t>
        </is>
      </c>
      <c r="L6" s="12" t="inlineStr">
        <is>
          <t>19/04/2026</t>
        </is>
      </c>
      <c r="M6" s="12" t="inlineStr"/>
      <c r="N6" s="12" t="inlineStr">
        <is>
          <t>v1.2</t>
        </is>
      </c>
      <c r="O6" s="12" t="inlineStr"/>
      <c r="P6" s="12" t="inlineStr">
        <is>
          <t>Escalade CP — patch d'urgence en cours</t>
        </is>
      </c>
    </row>
    <row r="7">
      <c r="A7" s="11" t="inlineStr">
        <is>
          <t>ANO-005</t>
        </is>
      </c>
      <c r="B7" s="11" t="inlineStr">
        <is>
          <t>19/04/2026</t>
        </is>
      </c>
      <c r="C7" s="11" t="inlineStr">
        <is>
          <t>Tests</t>
        </is>
      </c>
      <c r="D7" s="11" t="inlineStr">
        <is>
          <t>Réalisation</t>
        </is>
      </c>
      <c r="E7" s="11" t="inlineStr">
        <is>
          <t>Temps de réponse &gt; 5s sur dashboard</t>
        </is>
      </c>
      <c r="F7" s="11" t="inlineStr">
        <is>
          <t>Le dashboard principal met 6-8s à charger avec 50 utilisateurs simultanés</t>
        </is>
      </c>
      <c r="G7" s="11" t="inlineStr">
        <is>
          <t>Majeur</t>
        </is>
      </c>
      <c r="H7" s="11" t="inlineStr">
        <is>
          <t>Haute</t>
        </is>
      </c>
      <c r="I7" s="11" t="inlineStr">
        <is>
          <t>Ouvert</t>
        </is>
      </c>
      <c r="J7" s="11" t="inlineStr">
        <is>
          <t>EXG-002</t>
        </is>
      </c>
      <c r="K7" s="11" t="inlineStr">
        <is>
          <t>M. Petit</t>
        </is>
      </c>
      <c r="L7" s="11" t="inlineStr">
        <is>
          <t>25/04/2026</t>
        </is>
      </c>
      <c r="M7" s="11" t="inlineStr"/>
      <c r="N7" s="11" t="inlineStr">
        <is>
          <t>v1.2</t>
        </is>
      </c>
      <c r="O7" s="11" t="inlineStr"/>
      <c r="P7" s="11" t="inlineStr">
        <is>
          <t>Profiling à réaliser</t>
        </is>
      </c>
    </row>
    <row r="8">
      <c r="A8" s="12" t="inlineStr">
        <is>
          <t>ANO-006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</row>
    <row r="9">
      <c r="A9" s="11" t="inlineStr">
        <is>
          <t>ANO-007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</row>
    <row r="10">
      <c r="A10" s="12" t="inlineStr">
        <is>
          <t>ANO-008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</row>
    <row r="11">
      <c r="A11" s="11" t="inlineStr">
        <is>
          <t>ANO-009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</row>
    <row r="12">
      <c r="A12" s="12" t="inlineStr">
        <is>
          <t>ANO-010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</row>
    <row r="13">
      <c r="A13" s="11" t="inlineStr">
        <is>
          <t>ANO-011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</row>
    <row r="14">
      <c r="A14" s="12" t="inlineStr">
        <is>
          <t>ANO-012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</row>
    <row r="15">
      <c r="A15" s="11" t="inlineStr">
        <is>
          <t>ANO-013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</row>
    <row r="16">
      <c r="A16" s="12" t="inlineStr">
        <is>
          <t>ANO-014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</row>
    <row r="17">
      <c r="A17" s="11" t="inlineStr">
        <is>
          <t>ANO-015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</row>
    <row r="18">
      <c r="A18" s="12" t="inlineStr">
        <is>
          <t>ANO-016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</row>
    <row r="19">
      <c r="A19" s="11" t="inlineStr">
        <is>
          <t>ANO-017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</row>
    <row r="20">
      <c r="A20" s="12" t="inlineStr">
        <is>
          <t>ANO-018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</row>
    <row r="21">
      <c r="A21" s="11" t="inlineStr">
        <is>
          <t>ANO-019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</row>
    <row r="22">
      <c r="A22" s="12" t="inlineStr">
        <is>
          <t>ANO-020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</row>
    <row r="23">
      <c r="A23" s="11" t="inlineStr">
        <is>
          <t>ANO-021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</row>
    <row r="24">
      <c r="A24" s="12" t="inlineStr">
        <is>
          <t>ANO-022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</row>
    <row r="25">
      <c r="A25" s="11" t="inlineStr">
        <is>
          <t>ANO-023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</row>
    <row r="26">
      <c r="A26" s="12" t="inlineStr">
        <is>
          <t>ANO-024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</row>
    <row r="27">
      <c r="A27" s="11" t="inlineStr">
        <is>
          <t>ANO-025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</row>
    <row r="28">
      <c r="A28" s="12" t="inlineStr">
        <is>
          <t>ANO-026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</row>
    <row r="29">
      <c r="A29" s="11" t="inlineStr">
        <is>
          <t>ANO-027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</row>
    <row r="30">
      <c r="A30" s="12" t="inlineStr">
        <is>
          <t>ANO-028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</row>
    <row r="31">
      <c r="A31" s="11" t="inlineStr">
        <is>
          <t>ANO-029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</row>
    <row r="32">
      <c r="A32" s="12" t="inlineStr">
        <is>
          <t>ANO-030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</row>
    <row r="33">
      <c r="A33" s="11" t="inlineStr">
        <is>
          <t>ANO-031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</row>
    <row r="34">
      <c r="A34" s="12" t="inlineStr">
        <is>
          <t>ANO-032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</row>
    <row r="35">
      <c r="A35" s="11" t="inlineStr">
        <is>
          <t>ANO-033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</row>
    <row r="36">
      <c r="A36" s="12" t="inlineStr">
        <is>
          <t>ANO-034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</row>
    <row r="37">
      <c r="A37" s="11" t="inlineStr">
        <is>
          <t>ANO-035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</row>
    <row r="38">
      <c r="A38" s="12" t="inlineStr">
        <is>
          <t>ANO-036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</row>
    <row r="39">
      <c r="A39" s="11" t="inlineStr">
        <is>
          <t>ANO-037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</row>
    <row r="40">
      <c r="A40" s="12" t="inlineStr">
        <is>
          <t>ANO-038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</row>
    <row r="41">
      <c r="A41" s="11" t="inlineStr">
        <is>
          <t>ANO-039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</row>
    <row r="42">
      <c r="A42" s="12" t="inlineStr">
        <is>
          <t>ANO-040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</row>
    <row r="43">
      <c r="A43" s="11" t="inlineStr">
        <is>
          <t>ANO-041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</row>
    <row r="44">
      <c r="A44" s="12" t="inlineStr">
        <is>
          <t>ANO-042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</row>
    <row r="45">
      <c r="A45" s="11" t="inlineStr">
        <is>
          <t>ANO-043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</row>
    <row r="46">
      <c r="A46" s="12" t="inlineStr">
        <is>
          <t>ANO-044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</row>
    <row r="47">
      <c r="A47" s="11" t="inlineStr">
        <is>
          <t>ANO-045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</row>
    <row r="48">
      <c r="A48" s="12" t="inlineStr">
        <is>
          <t>ANO-046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</row>
    <row r="49">
      <c r="A49" s="11" t="inlineStr">
        <is>
          <t>ANO-047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</row>
    <row r="50">
      <c r="A50" s="12" t="inlineStr">
        <is>
          <t>ANO-048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</row>
    <row r="51">
      <c r="A51" s="11" t="inlineStr">
        <is>
          <t>ANO-049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</row>
    <row r="52">
      <c r="A52" s="12" t="inlineStr">
        <is>
          <t>ANO-050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</row>
    <row r="53">
      <c r="A53" s="11" t="inlineStr">
        <is>
          <t>ANO-051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</row>
    <row r="54">
      <c r="A54" s="12" t="inlineStr">
        <is>
          <t>ANO-052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</row>
    <row r="55">
      <c r="A55" s="11" t="inlineStr">
        <is>
          <t>ANO-053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</row>
    <row r="56">
      <c r="A56" s="12" t="inlineStr">
        <is>
          <t>ANO-054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</row>
    <row r="57">
      <c r="A57" s="11" t="inlineStr">
        <is>
          <t>ANO-055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</row>
    <row r="58">
      <c r="A58" s="12" t="inlineStr">
        <is>
          <t>ANO-056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</row>
    <row r="59">
      <c r="A59" s="11" t="inlineStr">
        <is>
          <t>ANO-057</t>
        </is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</row>
    <row r="60">
      <c r="A60" s="12" t="inlineStr">
        <is>
          <t>ANO-058</t>
        </is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</row>
    <row r="61">
      <c r="A61" s="11" t="inlineStr">
        <is>
          <t>ANO-059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</row>
    <row r="62">
      <c r="A62" s="12" t="inlineStr">
        <is>
          <t>ANO-060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</row>
    <row r="63">
      <c r="A63" s="11" t="inlineStr">
        <is>
          <t>ANO-061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</row>
    <row r="64">
      <c r="A64" s="12" t="inlineStr">
        <is>
          <t>ANO-062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</row>
    <row r="65">
      <c r="A65" s="11" t="inlineStr">
        <is>
          <t>ANO-063</t>
        </is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</row>
    <row r="66">
      <c r="A66" s="12" t="inlineStr">
        <is>
          <t>ANO-064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</row>
    <row r="67">
      <c r="A67" s="11" t="inlineStr">
        <is>
          <t>ANO-065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</row>
    <row r="68">
      <c r="A68" s="12" t="inlineStr">
        <is>
          <t>ANO-066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</row>
    <row r="69">
      <c r="A69" s="11" t="inlineStr">
        <is>
          <t>ANO-067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</row>
    <row r="70">
      <c r="A70" s="12" t="inlineStr">
        <is>
          <t>ANO-068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</row>
    <row r="71">
      <c r="A71" s="11" t="inlineStr">
        <is>
          <t>ANO-069</t>
        </is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</row>
    <row r="72">
      <c r="A72" s="12" t="inlineStr">
        <is>
          <t>ANO-070</t>
        </is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</row>
    <row r="73">
      <c r="A73" s="11" t="inlineStr">
        <is>
          <t>ANO-071</t>
        </is>
      </c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</row>
    <row r="74">
      <c r="A74" s="12" t="inlineStr">
        <is>
          <t>ANO-072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</row>
    <row r="75">
      <c r="A75" s="11" t="inlineStr">
        <is>
          <t>ANO-073</t>
        </is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</row>
    <row r="76">
      <c r="A76" s="12" t="inlineStr">
        <is>
          <t>ANO-074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</row>
    <row r="77">
      <c r="A77" s="11" t="inlineStr">
        <is>
          <t>ANO-075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</row>
    <row r="78">
      <c r="A78" s="12" t="inlineStr">
        <is>
          <t>ANO-076</t>
        </is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</row>
    <row r="79">
      <c r="A79" s="11" t="inlineStr">
        <is>
          <t>ANO-077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</row>
    <row r="80">
      <c r="A80" s="12" t="inlineStr">
        <is>
          <t>ANO-078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</row>
    <row r="81">
      <c r="A81" s="11" t="inlineStr">
        <is>
          <t>ANO-079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</row>
    <row r="82">
      <c r="A82" s="12" t="inlineStr">
        <is>
          <t>ANO-080</t>
        </is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</row>
    <row r="83">
      <c r="A83" s="11" t="inlineStr">
        <is>
          <t>ANO-081</t>
        </is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</row>
    <row r="84">
      <c r="A84" s="12" t="inlineStr">
        <is>
          <t>ANO-082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</row>
    <row r="85">
      <c r="A85" s="11" t="inlineStr">
        <is>
          <t>ANO-083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</row>
    <row r="86">
      <c r="A86" s="12" t="inlineStr">
        <is>
          <t>ANO-084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</row>
    <row r="87">
      <c r="A87" s="11" t="inlineStr">
        <is>
          <t>ANO-085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</row>
    <row r="88">
      <c r="A88" s="12" t="inlineStr">
        <is>
          <t>ANO-086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</row>
    <row r="89">
      <c r="A89" s="11" t="inlineStr">
        <is>
          <t>ANO-087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</row>
    <row r="90">
      <c r="A90" s="12" t="inlineStr">
        <is>
          <t>ANO-088</t>
        </is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</row>
    <row r="91">
      <c r="A91" s="11" t="inlineStr">
        <is>
          <t>ANO-089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</row>
    <row r="92">
      <c r="A92" s="12" t="inlineStr">
        <is>
          <t>ANO-090</t>
        </is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</row>
    <row r="93">
      <c r="A93" s="11" t="inlineStr">
        <is>
          <t>ANO-091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</row>
    <row r="94">
      <c r="A94" s="12" t="inlineStr">
        <is>
          <t>ANO-092</t>
        </is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</row>
    <row r="95">
      <c r="A95" s="11" t="inlineStr">
        <is>
          <t>ANO-093</t>
        </is>
      </c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</row>
    <row r="96">
      <c r="A96" s="12" t="inlineStr">
        <is>
          <t>ANO-094</t>
        </is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</row>
    <row r="97">
      <c r="A97" s="11" t="inlineStr">
        <is>
          <t>ANO-095</t>
        </is>
      </c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</row>
    <row r="98">
      <c r="A98" s="12" t="inlineStr">
        <is>
          <t>ANO-096</t>
        </is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</row>
    <row r="99">
      <c r="A99" s="11" t="inlineStr">
        <is>
          <t>ANO-097</t>
        </is>
      </c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</row>
    <row r="100">
      <c r="A100" s="12" t="inlineStr">
        <is>
          <t>ANO-098</t>
        </is>
      </c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</row>
    <row r="101">
      <c r="A101" s="11" t="inlineStr">
        <is>
          <t>ANO-099</t>
        </is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</row>
    <row r="102">
      <c r="A102" s="12" t="inlineStr">
        <is>
          <t>ANO-100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</row>
    <row r="103">
      <c r="A103" s="11" t="inlineStr">
        <is>
          <t>ANO-101</t>
        </is>
      </c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</row>
    <row r="104">
      <c r="A104" s="12" t="inlineStr">
        <is>
          <t>ANO-102</t>
        </is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</row>
    <row r="105">
      <c r="A105" s="11" t="inlineStr">
        <is>
          <t>ANO-103</t>
        </is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</row>
    <row r="106">
      <c r="A106" s="12" t="inlineStr">
        <is>
          <t>ANO-104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</row>
    <row r="107">
      <c r="A107" s="11" t="inlineStr">
        <is>
          <t>ANO-105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</row>
    <row r="108">
      <c r="A108" s="12" t="inlineStr">
        <is>
          <t>ANO-106</t>
        </is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</row>
    <row r="109">
      <c r="A109" s="11" t="inlineStr">
        <is>
          <t>ANO-107</t>
        </is>
      </c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</row>
    <row r="110">
      <c r="A110" s="12" t="inlineStr">
        <is>
          <t>ANO-108</t>
        </is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</row>
    <row r="111">
      <c r="A111" s="11" t="inlineStr">
        <is>
          <t>ANO-109</t>
        </is>
      </c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</row>
    <row r="112">
      <c r="A112" s="12" t="inlineStr">
        <is>
          <t>ANO-110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</row>
    <row r="113">
      <c r="A113" s="11" t="inlineStr">
        <is>
          <t>ANO-111</t>
        </is>
      </c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</row>
    <row r="114">
      <c r="A114" s="12" t="inlineStr">
        <is>
          <t>ANO-112</t>
        </is>
      </c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</row>
    <row r="115">
      <c r="A115" s="11" t="inlineStr">
        <is>
          <t>ANO-113</t>
        </is>
      </c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</row>
    <row r="116">
      <c r="A116" s="12" t="inlineStr">
        <is>
          <t>ANO-114</t>
        </is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</row>
    <row r="117">
      <c r="A117" s="11" t="inlineStr">
        <is>
          <t>ANO-115</t>
        </is>
      </c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</row>
    <row r="118">
      <c r="A118" s="12" t="inlineStr">
        <is>
          <t>ANO-116</t>
        </is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</row>
    <row r="119">
      <c r="A119" s="11" t="inlineStr">
        <is>
          <t>ANO-117</t>
        </is>
      </c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</row>
    <row r="120">
      <c r="A120" s="12" t="inlineStr">
        <is>
          <t>ANO-118</t>
        </is>
      </c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</row>
    <row r="121">
      <c r="A121" s="11" t="inlineStr">
        <is>
          <t>ANO-119</t>
        </is>
      </c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</row>
    <row r="122">
      <c r="A122" s="12" t="inlineStr">
        <is>
          <t>ANO-120</t>
        </is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</row>
    <row r="123">
      <c r="A123" s="11" t="inlineStr">
        <is>
          <t>ANO-121</t>
        </is>
      </c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</row>
    <row r="124">
      <c r="A124" s="12" t="inlineStr">
        <is>
          <t>ANO-122</t>
        </is>
      </c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</row>
    <row r="125">
      <c r="A125" s="11" t="inlineStr">
        <is>
          <t>ANO-123</t>
        </is>
      </c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</row>
    <row r="126">
      <c r="A126" s="12" t="inlineStr">
        <is>
          <t>ANO-124</t>
        </is>
      </c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</row>
    <row r="127">
      <c r="A127" s="11" t="inlineStr">
        <is>
          <t>ANO-125</t>
        </is>
      </c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</row>
    <row r="128">
      <c r="A128" s="12" t="inlineStr">
        <is>
          <t>ANO-126</t>
        </is>
      </c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</row>
    <row r="129">
      <c r="A129" s="11" t="inlineStr">
        <is>
          <t>ANO-127</t>
        </is>
      </c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</row>
    <row r="130">
      <c r="A130" s="12" t="inlineStr">
        <is>
          <t>ANO-128</t>
        </is>
      </c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</row>
    <row r="131">
      <c r="A131" s="11" t="inlineStr">
        <is>
          <t>ANO-129</t>
        </is>
      </c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</row>
    <row r="132">
      <c r="A132" s="12" t="inlineStr">
        <is>
          <t>ANO-130</t>
        </is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</row>
    <row r="133">
      <c r="A133" s="11" t="inlineStr">
        <is>
          <t>ANO-131</t>
        </is>
      </c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</row>
    <row r="134">
      <c r="A134" s="12" t="inlineStr">
        <is>
          <t>ANO-132</t>
        </is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</row>
    <row r="135">
      <c r="A135" s="11" t="inlineStr">
        <is>
          <t>ANO-133</t>
        </is>
      </c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</row>
    <row r="136">
      <c r="A136" s="12" t="inlineStr">
        <is>
          <t>ANO-134</t>
        </is>
      </c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</row>
    <row r="137">
      <c r="A137" s="11" t="inlineStr">
        <is>
          <t>ANO-135</t>
        </is>
      </c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</row>
    <row r="138">
      <c r="A138" s="12" t="inlineStr">
        <is>
          <t>ANO-136</t>
        </is>
      </c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</row>
    <row r="139">
      <c r="A139" s="11" t="inlineStr">
        <is>
          <t>ANO-137</t>
        </is>
      </c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</row>
    <row r="140">
      <c r="A140" s="12" t="inlineStr">
        <is>
          <t>ANO-138</t>
        </is>
      </c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</row>
    <row r="141">
      <c r="A141" s="11" t="inlineStr">
        <is>
          <t>ANO-139</t>
        </is>
      </c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</row>
    <row r="142">
      <c r="A142" s="12" t="inlineStr">
        <is>
          <t>ANO-140</t>
        </is>
      </c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</row>
    <row r="143">
      <c r="A143" s="11" t="inlineStr">
        <is>
          <t>ANO-141</t>
        </is>
      </c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</row>
    <row r="144">
      <c r="A144" s="12" t="inlineStr">
        <is>
          <t>ANO-142</t>
        </is>
      </c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</row>
    <row r="145">
      <c r="A145" s="11" t="inlineStr">
        <is>
          <t>ANO-143</t>
        </is>
      </c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</row>
    <row r="146">
      <c r="A146" s="12" t="inlineStr">
        <is>
          <t>ANO-144</t>
        </is>
      </c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</row>
    <row r="147">
      <c r="A147" s="11" t="inlineStr">
        <is>
          <t>ANO-145</t>
        </is>
      </c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</row>
    <row r="148">
      <c r="A148" s="12" t="inlineStr">
        <is>
          <t>ANO-146</t>
        </is>
      </c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</row>
    <row r="149">
      <c r="A149" s="11" t="inlineStr">
        <is>
          <t>ANO-147</t>
        </is>
      </c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</row>
    <row r="150">
      <c r="A150" s="12" t="inlineStr">
        <is>
          <t>ANO-148</t>
        </is>
      </c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</row>
    <row r="151">
      <c r="A151" s="11" t="inlineStr">
        <is>
          <t>ANO-149</t>
        </is>
      </c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</row>
    <row r="152">
      <c r="A152" s="12" t="inlineStr">
        <is>
          <t>ANO-150</t>
        </is>
      </c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</row>
    <row r="153">
      <c r="A153" s="11" t="inlineStr">
        <is>
          <t>ANO-151</t>
        </is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</row>
    <row r="154">
      <c r="A154" s="12" t="inlineStr">
        <is>
          <t>ANO-152</t>
        </is>
      </c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</row>
    <row r="155">
      <c r="A155" s="11" t="inlineStr">
        <is>
          <t>ANO-153</t>
        </is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</row>
    <row r="156">
      <c r="A156" s="12" t="inlineStr">
        <is>
          <t>ANO-154</t>
        </is>
      </c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</row>
    <row r="157">
      <c r="A157" s="11" t="inlineStr">
        <is>
          <t>ANO-155</t>
        </is>
      </c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</row>
    <row r="158">
      <c r="A158" s="12" t="inlineStr">
        <is>
          <t>ANO-156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</row>
    <row r="159">
      <c r="A159" s="11" t="inlineStr">
        <is>
          <t>ANO-157</t>
        </is>
      </c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</row>
    <row r="160">
      <c r="A160" s="12" t="inlineStr">
        <is>
          <t>ANO-158</t>
        </is>
      </c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</row>
    <row r="161">
      <c r="A161" s="11" t="inlineStr">
        <is>
          <t>ANO-159</t>
        </is>
      </c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</row>
    <row r="162">
      <c r="A162" s="12" t="inlineStr">
        <is>
          <t>ANO-160</t>
        </is>
      </c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</row>
    <row r="163">
      <c r="A163" s="11" t="inlineStr">
        <is>
          <t>ANO-161</t>
        </is>
      </c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</row>
    <row r="164">
      <c r="A164" s="12" t="inlineStr">
        <is>
          <t>ANO-162</t>
        </is>
      </c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</row>
    <row r="165">
      <c r="A165" s="11" t="inlineStr">
        <is>
          <t>ANO-163</t>
        </is>
      </c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</row>
    <row r="166">
      <c r="A166" s="12" t="inlineStr">
        <is>
          <t>ANO-164</t>
        </is>
      </c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</row>
    <row r="167">
      <c r="A167" s="11" t="inlineStr">
        <is>
          <t>ANO-165</t>
        </is>
      </c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</row>
    <row r="168">
      <c r="A168" s="12" t="inlineStr">
        <is>
          <t>ANO-166</t>
        </is>
      </c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</row>
    <row r="169">
      <c r="A169" s="11" t="inlineStr">
        <is>
          <t>ANO-167</t>
        </is>
      </c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</row>
    <row r="170">
      <c r="A170" s="12" t="inlineStr">
        <is>
          <t>ANO-168</t>
        </is>
      </c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</row>
    <row r="171">
      <c r="A171" s="11" t="inlineStr">
        <is>
          <t>ANO-169</t>
        </is>
      </c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</row>
    <row r="172">
      <c r="A172" s="12" t="inlineStr">
        <is>
          <t>ANO-170</t>
        </is>
      </c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</row>
    <row r="173">
      <c r="A173" s="11" t="inlineStr">
        <is>
          <t>ANO-171</t>
        </is>
      </c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</row>
    <row r="174">
      <c r="A174" s="12" t="inlineStr">
        <is>
          <t>ANO-172</t>
        </is>
      </c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</row>
    <row r="175">
      <c r="A175" s="11" t="inlineStr">
        <is>
          <t>ANO-173</t>
        </is>
      </c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</row>
    <row r="176">
      <c r="A176" s="12" t="inlineStr">
        <is>
          <t>ANO-174</t>
        </is>
      </c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</row>
    <row r="177">
      <c r="A177" s="11" t="inlineStr">
        <is>
          <t>ANO-175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</row>
    <row r="178">
      <c r="A178" s="12" t="inlineStr">
        <is>
          <t>ANO-176</t>
        </is>
      </c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</row>
    <row r="179">
      <c r="A179" s="11" t="inlineStr">
        <is>
          <t>ANO-177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</row>
    <row r="180">
      <c r="A180" s="12" t="inlineStr">
        <is>
          <t>ANO-178</t>
        </is>
      </c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</row>
    <row r="181">
      <c r="A181" s="11" t="inlineStr">
        <is>
          <t>ANO-179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</row>
    <row r="182">
      <c r="A182" s="12" t="inlineStr">
        <is>
          <t>ANO-180</t>
        </is>
      </c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</row>
    <row r="183">
      <c r="A183" s="11" t="inlineStr">
        <is>
          <t>ANO-181</t>
        </is>
      </c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</row>
    <row r="184">
      <c r="A184" s="12" t="inlineStr">
        <is>
          <t>ANO-182</t>
        </is>
      </c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</row>
    <row r="185">
      <c r="A185" s="11" t="inlineStr">
        <is>
          <t>ANO-183</t>
        </is>
      </c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</row>
    <row r="186">
      <c r="A186" s="12" t="inlineStr">
        <is>
          <t>ANO-184</t>
        </is>
      </c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</row>
    <row r="187">
      <c r="A187" s="11" t="inlineStr">
        <is>
          <t>ANO-185</t>
        </is>
      </c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</row>
    <row r="188">
      <c r="A188" s="12" t="inlineStr">
        <is>
          <t>ANO-186</t>
        </is>
      </c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</row>
    <row r="189">
      <c r="A189" s="11" t="inlineStr">
        <is>
          <t>ANO-187</t>
        </is>
      </c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</row>
    <row r="190">
      <c r="A190" s="12" t="inlineStr">
        <is>
          <t>ANO-188</t>
        </is>
      </c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</row>
    <row r="191">
      <c r="A191" s="11" t="inlineStr">
        <is>
          <t>ANO-189</t>
        </is>
      </c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</row>
    <row r="192">
      <c r="A192" s="12" t="inlineStr">
        <is>
          <t>ANO-190</t>
        </is>
      </c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</row>
    <row r="193">
      <c r="A193" s="11" t="inlineStr">
        <is>
          <t>ANO-191</t>
        </is>
      </c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</row>
    <row r="194">
      <c r="A194" s="12" t="inlineStr">
        <is>
          <t>ANO-192</t>
        </is>
      </c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</row>
    <row r="195">
      <c r="A195" s="11" t="inlineStr">
        <is>
          <t>ANO-193</t>
        </is>
      </c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</row>
    <row r="196">
      <c r="A196" s="12" t="inlineStr">
        <is>
          <t>ANO-194</t>
        </is>
      </c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</row>
    <row r="197">
      <c r="A197" s="11" t="inlineStr">
        <is>
          <t>ANO-195</t>
        </is>
      </c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</row>
    <row r="198">
      <c r="A198" s="12" t="inlineStr">
        <is>
          <t>ANO-196</t>
        </is>
      </c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</row>
    <row r="199">
      <c r="A199" s="11" t="inlineStr">
        <is>
          <t>ANO-197</t>
        </is>
      </c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</row>
    <row r="200">
      <c r="A200" s="12" t="inlineStr">
        <is>
          <t>ANO-198</t>
        </is>
      </c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</row>
    <row r="201">
      <c r="A201" s="11" t="inlineStr">
        <is>
          <t>ANO-199</t>
        </is>
      </c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</row>
    <row r="202">
      <c r="A202" s="12" t="inlineStr">
        <is>
          <t>ANO-200</t>
        </is>
      </c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</row>
  </sheetData>
  <autoFilter ref="A1:P202"/>
  <mergeCells count="1">
    <mergeCell ref="A1:P1"/>
  </mergeCells>
  <conditionalFormatting sqref="I3:I202">
    <cfRule type="cellIs" priority="1" operator="equal" dxfId="0">
      <formula>"Résolu"</formula>
    </cfRule>
    <cfRule type="cellIs" priority="2" operator="equal" dxfId="0">
      <formula>"Fermé"</formula>
    </cfRule>
    <cfRule type="cellIs" priority="3" operator="equal" dxfId="1">
      <formula>"Ouvert"</formula>
    </cfRule>
    <cfRule type="cellIs" priority="4" operator="equal" dxfId="2">
      <formula>"En cours"</formula>
    </cfRule>
    <cfRule type="cellIs" priority="5" operator="equal" dxfId="3">
      <formula>"Rejeté"</formula>
    </cfRule>
  </conditionalFormatting>
  <conditionalFormatting sqref="G3:G202">
    <cfRule type="cellIs" priority="6" operator="equal" dxfId="1">
      <formula>"Bloquant"</formula>
    </cfRule>
    <cfRule type="cellIs" priority="7" operator="equal" dxfId="2">
      <formula>"Majeur"</formula>
    </cfRule>
    <cfRule type="cellIs" priority="8" operator="equal" dxfId="4">
      <formula>"Mineur"</formula>
    </cfRule>
    <cfRule type="cellIs" priority="9" operator="equal" dxfId="0">
      <formula>"Cosmétique"</formula>
    </cfRule>
  </conditionalFormatting>
  <dataValidations count="5">
    <dataValidation sqref="C3:C202" showDropDown="0" showInputMessage="1" showErrorMessage="1" allowBlank="1" errorTitle="Erreur de saisie" error="Valeur non autorisée. Choisissez dans la liste." promptTitle="Phase détection" prompt="Phase où détectée" type="list">
      <formula1>"Définition,Conception,Réalisation,Tests,Recette,Déploiement"</formula1>
    </dataValidation>
    <dataValidation sqref="D3:D202" showDropDown="0" showInputMessage="1" showErrorMessage="1" allowBlank="1" errorTitle="Erreur de saisie" error="Valeur non autorisée. Choisissez dans la liste." promptTitle="Phase origine" prompt="Phase où introduit" type="list">
      <formula1>"Définition,Conception,Réalisation,Tests,Recette,Inconnu"</formula1>
    </dataValidation>
    <dataValidation sqref="G3:G202" showDropDown="0" showInputMessage="1" showErrorMessage="1" allowBlank="1" errorTitle="Erreur de saisie" error="Valeur non autorisée. Choisissez dans la liste." promptTitle="Sévérité" prompt="Impact sur le projet" type="list">
      <formula1>"Bloquant,Majeur,Mineur,Cosmétique"</formula1>
    </dataValidation>
    <dataValidation sqref="H3:H202" showDropDown="0" showInputMessage="1" showErrorMessage="1" allowBlank="1" errorTitle="Erreur de saisie" error="Valeur non autorisée. Choisissez dans la liste." promptTitle="Priorité" prompt="Urgence de correction" type="list">
      <formula1>"Critique,Haute,Moyenne,Faible"</formula1>
    </dataValidation>
    <dataValidation sqref="I3:I202" showDropDown="0" showInputMessage="1" showErrorMessage="1" allowBlank="1" errorTitle="Erreur de saisie" error="Valeur non autorisée. Choisissez dans la liste." promptTitle="Statut" prompt="Statut de l'anomalie" type="list">
      <formula1>"Ouvert,En cours,Résolu,Fermé,Rejeté"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 ht="28" customHeight="1">
      <c r="A1" s="13" t="inlineStr">
        <is>
          <t>TABLEAU DE BORD — Anomalies par Phase du Cycle en V</t>
        </is>
      </c>
    </row>
    <row r="2">
      <c r="A2" s="14" t="inlineStr">
        <is>
          <t>⟳  Ce tableau se met à jour automatiquement dès que vous ajoutez des anomalies dans l'onglet 01_ANOMALIES</t>
        </is>
      </c>
    </row>
    <row r="3">
      <c r="A3" s="10" t="inlineStr">
        <is>
          <t>Phase (détection)</t>
        </is>
      </c>
      <c r="B3" s="10" t="inlineStr">
        <is>
          <t>Total</t>
        </is>
      </c>
      <c r="C3" s="10" t="inlineStr">
        <is>
          <t>Ouvertes</t>
        </is>
      </c>
      <c r="D3" s="10" t="inlineStr">
        <is>
          <t>En cours</t>
        </is>
      </c>
      <c r="E3" s="10" t="inlineStr">
        <is>
          <t>Résolues</t>
        </is>
      </c>
      <c r="F3" s="10" t="inlineStr">
        <is>
          <t>Fermées</t>
        </is>
      </c>
      <c r="G3" s="10" t="inlineStr">
        <is>
          <t>Rejetées</t>
        </is>
      </c>
      <c r="H3" s="10" t="inlineStr">
        <is>
          <t>Bloquantes</t>
        </is>
      </c>
      <c r="I3" s="10" t="inlineStr">
        <is>
          <t>Majeures</t>
        </is>
      </c>
      <c r="J3" s="10" t="inlineStr">
        <is>
          <t>% Résolues</t>
        </is>
      </c>
    </row>
    <row r="4">
      <c r="A4" s="15" t="inlineStr">
        <is>
          <t>Définition</t>
        </is>
      </c>
      <c r="B4" s="15">
        <f>COUNTIF('01_ANOMALIES'!$C$3:$C$202,"Définition")</f>
        <v/>
      </c>
      <c r="C4" s="15">
        <f>COUNTIFS('01_ANOMALIES'!$C$3:$C$202,"Définition",'01_ANOMALIES'!$I$3:$I$202,"Ouvert")</f>
        <v/>
      </c>
      <c r="D4" s="15">
        <f>COUNTIFS('01_ANOMALIES'!$C$3:$C$202,"Définition",'01_ANOMALIES'!$I$3:$I$202,"En cours")</f>
        <v/>
      </c>
      <c r="E4" s="15">
        <f>COUNTIFS('01_ANOMALIES'!$C$3:$C$202,"Définition",'01_ANOMALIES'!$I$3:$I$202,"Résolu")</f>
        <v/>
      </c>
      <c r="F4" s="15">
        <f>COUNTIFS('01_ANOMALIES'!$C$3:$C$202,"Définition",'01_ANOMALIES'!$I$3:$I$202,"Fermé")</f>
        <v/>
      </c>
      <c r="G4" s="15">
        <f>COUNTIFS('01_ANOMALIES'!$C$3:$C$202,"Définition",'01_ANOMALIES'!$I$3:$I$202,"Rejeté")</f>
        <v/>
      </c>
      <c r="H4" s="15">
        <f>COUNTIFS('01_ANOMALIES'!$C$3:$C$202,"Définition",'01_ANOMALIES'!$G$3:$G$202,"Bloquant")</f>
        <v/>
      </c>
      <c r="I4" s="15">
        <f>COUNTIFS('01_ANOMALIES'!$C$3:$C$202,"Définition",'01_ANOMALIES'!$G$3:$G$202,"Majeur")</f>
        <v/>
      </c>
      <c r="J4" s="16">
        <f>IF(B4=0,0,(E4+F4)/B4)</f>
        <v/>
      </c>
    </row>
    <row r="5">
      <c r="A5" s="17" t="inlineStr">
        <is>
          <t>Conception</t>
        </is>
      </c>
      <c r="B5" s="17">
        <f>COUNTIF('01_ANOMALIES'!$C$3:$C$202,"Conception")</f>
        <v/>
      </c>
      <c r="C5" s="17">
        <f>COUNTIFS('01_ANOMALIES'!$C$3:$C$202,"Conception",'01_ANOMALIES'!$I$3:$I$202,"Ouvert")</f>
        <v/>
      </c>
      <c r="D5" s="17">
        <f>COUNTIFS('01_ANOMALIES'!$C$3:$C$202,"Conception",'01_ANOMALIES'!$I$3:$I$202,"En cours")</f>
        <v/>
      </c>
      <c r="E5" s="17">
        <f>COUNTIFS('01_ANOMALIES'!$C$3:$C$202,"Conception",'01_ANOMALIES'!$I$3:$I$202,"Résolu")</f>
        <v/>
      </c>
      <c r="F5" s="17">
        <f>COUNTIFS('01_ANOMALIES'!$C$3:$C$202,"Conception",'01_ANOMALIES'!$I$3:$I$202,"Fermé")</f>
        <v/>
      </c>
      <c r="G5" s="17">
        <f>COUNTIFS('01_ANOMALIES'!$C$3:$C$202,"Conception",'01_ANOMALIES'!$I$3:$I$202,"Rejeté")</f>
        <v/>
      </c>
      <c r="H5" s="17">
        <f>COUNTIFS('01_ANOMALIES'!$C$3:$C$202,"Conception",'01_ANOMALIES'!$G$3:$G$202,"Bloquant")</f>
        <v/>
      </c>
      <c r="I5" s="17">
        <f>COUNTIFS('01_ANOMALIES'!$C$3:$C$202,"Conception",'01_ANOMALIES'!$G$3:$G$202,"Majeur")</f>
        <v/>
      </c>
      <c r="J5" s="18">
        <f>IF(B5=0,0,(E5+F5)/B5)</f>
        <v/>
      </c>
    </row>
    <row r="6">
      <c r="A6" s="15" t="inlineStr">
        <is>
          <t>Réalisation</t>
        </is>
      </c>
      <c r="B6" s="15">
        <f>COUNTIF('01_ANOMALIES'!$C$3:$C$202,"Réalisation")</f>
        <v/>
      </c>
      <c r="C6" s="15">
        <f>COUNTIFS('01_ANOMALIES'!$C$3:$C$202,"Réalisation",'01_ANOMALIES'!$I$3:$I$202,"Ouvert")</f>
        <v/>
      </c>
      <c r="D6" s="15">
        <f>COUNTIFS('01_ANOMALIES'!$C$3:$C$202,"Réalisation",'01_ANOMALIES'!$I$3:$I$202,"En cours")</f>
        <v/>
      </c>
      <c r="E6" s="15">
        <f>COUNTIFS('01_ANOMALIES'!$C$3:$C$202,"Réalisation",'01_ANOMALIES'!$I$3:$I$202,"Résolu")</f>
        <v/>
      </c>
      <c r="F6" s="15">
        <f>COUNTIFS('01_ANOMALIES'!$C$3:$C$202,"Réalisation",'01_ANOMALIES'!$I$3:$I$202,"Fermé")</f>
        <v/>
      </c>
      <c r="G6" s="15">
        <f>COUNTIFS('01_ANOMALIES'!$C$3:$C$202,"Réalisation",'01_ANOMALIES'!$I$3:$I$202,"Rejeté")</f>
        <v/>
      </c>
      <c r="H6" s="15">
        <f>COUNTIFS('01_ANOMALIES'!$C$3:$C$202,"Réalisation",'01_ANOMALIES'!$G$3:$G$202,"Bloquant")</f>
        <v/>
      </c>
      <c r="I6" s="15">
        <f>COUNTIFS('01_ANOMALIES'!$C$3:$C$202,"Réalisation",'01_ANOMALIES'!$G$3:$G$202,"Majeur")</f>
        <v/>
      </c>
      <c r="J6" s="16">
        <f>IF(B6=0,0,(E6+F6)/B6)</f>
        <v/>
      </c>
    </row>
    <row r="7">
      <c r="A7" s="17" t="inlineStr">
        <is>
          <t>Tests</t>
        </is>
      </c>
      <c r="B7" s="17">
        <f>COUNTIF('01_ANOMALIES'!$C$3:$C$202,"Tests")</f>
        <v/>
      </c>
      <c r="C7" s="17">
        <f>COUNTIFS('01_ANOMALIES'!$C$3:$C$202,"Tests",'01_ANOMALIES'!$I$3:$I$202,"Ouvert")</f>
        <v/>
      </c>
      <c r="D7" s="17">
        <f>COUNTIFS('01_ANOMALIES'!$C$3:$C$202,"Tests",'01_ANOMALIES'!$I$3:$I$202,"En cours")</f>
        <v/>
      </c>
      <c r="E7" s="17">
        <f>COUNTIFS('01_ANOMALIES'!$C$3:$C$202,"Tests",'01_ANOMALIES'!$I$3:$I$202,"Résolu")</f>
        <v/>
      </c>
      <c r="F7" s="17">
        <f>COUNTIFS('01_ANOMALIES'!$C$3:$C$202,"Tests",'01_ANOMALIES'!$I$3:$I$202,"Fermé")</f>
        <v/>
      </c>
      <c r="G7" s="17">
        <f>COUNTIFS('01_ANOMALIES'!$C$3:$C$202,"Tests",'01_ANOMALIES'!$I$3:$I$202,"Rejeté")</f>
        <v/>
      </c>
      <c r="H7" s="17">
        <f>COUNTIFS('01_ANOMALIES'!$C$3:$C$202,"Tests",'01_ANOMALIES'!$G$3:$G$202,"Bloquant")</f>
        <v/>
      </c>
      <c r="I7" s="17">
        <f>COUNTIFS('01_ANOMALIES'!$C$3:$C$202,"Tests",'01_ANOMALIES'!$G$3:$G$202,"Majeur")</f>
        <v/>
      </c>
      <c r="J7" s="18">
        <f>IF(B7=0,0,(E7+F7)/B7)</f>
        <v/>
      </c>
    </row>
    <row r="8">
      <c r="A8" s="15" t="inlineStr">
        <is>
          <t>Recette</t>
        </is>
      </c>
      <c r="B8" s="15">
        <f>COUNTIF('01_ANOMALIES'!$C$3:$C$202,"Recette")</f>
        <v/>
      </c>
      <c r="C8" s="15">
        <f>COUNTIFS('01_ANOMALIES'!$C$3:$C$202,"Recette",'01_ANOMALIES'!$I$3:$I$202,"Ouvert")</f>
        <v/>
      </c>
      <c r="D8" s="15">
        <f>COUNTIFS('01_ANOMALIES'!$C$3:$C$202,"Recette",'01_ANOMALIES'!$I$3:$I$202,"En cours")</f>
        <v/>
      </c>
      <c r="E8" s="15">
        <f>COUNTIFS('01_ANOMALIES'!$C$3:$C$202,"Recette",'01_ANOMALIES'!$I$3:$I$202,"Résolu")</f>
        <v/>
      </c>
      <c r="F8" s="15">
        <f>COUNTIFS('01_ANOMALIES'!$C$3:$C$202,"Recette",'01_ANOMALIES'!$I$3:$I$202,"Fermé")</f>
        <v/>
      </c>
      <c r="G8" s="15">
        <f>COUNTIFS('01_ANOMALIES'!$C$3:$C$202,"Recette",'01_ANOMALIES'!$I$3:$I$202,"Rejeté")</f>
        <v/>
      </c>
      <c r="H8" s="15">
        <f>COUNTIFS('01_ANOMALIES'!$C$3:$C$202,"Recette",'01_ANOMALIES'!$G$3:$G$202,"Bloquant")</f>
        <v/>
      </c>
      <c r="I8" s="15">
        <f>COUNTIFS('01_ANOMALIES'!$C$3:$C$202,"Recette",'01_ANOMALIES'!$G$3:$G$202,"Majeur")</f>
        <v/>
      </c>
      <c r="J8" s="16">
        <f>IF(B8=0,0,(E8+F8)/B8)</f>
        <v/>
      </c>
    </row>
    <row r="9">
      <c r="A9" s="17" t="inlineStr">
        <is>
          <t>Déploiement</t>
        </is>
      </c>
      <c r="B9" s="17">
        <f>COUNTIF('01_ANOMALIES'!$C$3:$C$202,"Déploiement")</f>
        <v/>
      </c>
      <c r="C9" s="17">
        <f>COUNTIFS('01_ANOMALIES'!$C$3:$C$202,"Déploiement",'01_ANOMALIES'!$I$3:$I$202,"Ouvert")</f>
        <v/>
      </c>
      <c r="D9" s="17">
        <f>COUNTIFS('01_ANOMALIES'!$C$3:$C$202,"Déploiement",'01_ANOMALIES'!$I$3:$I$202,"En cours")</f>
        <v/>
      </c>
      <c r="E9" s="17">
        <f>COUNTIFS('01_ANOMALIES'!$C$3:$C$202,"Déploiement",'01_ANOMALIES'!$I$3:$I$202,"Résolu")</f>
        <v/>
      </c>
      <c r="F9" s="17">
        <f>COUNTIFS('01_ANOMALIES'!$C$3:$C$202,"Déploiement",'01_ANOMALIES'!$I$3:$I$202,"Fermé")</f>
        <v/>
      </c>
      <c r="G9" s="17">
        <f>COUNTIFS('01_ANOMALIES'!$C$3:$C$202,"Déploiement",'01_ANOMALIES'!$I$3:$I$202,"Rejeté")</f>
        <v/>
      </c>
      <c r="H9" s="17">
        <f>COUNTIFS('01_ANOMALIES'!$C$3:$C$202,"Déploiement",'01_ANOMALIES'!$G$3:$G$202,"Bloquant")</f>
        <v/>
      </c>
      <c r="I9" s="17">
        <f>COUNTIFS('01_ANOMALIES'!$C$3:$C$202,"Déploiement",'01_ANOMALIES'!$G$3:$G$202,"Majeur")</f>
        <v/>
      </c>
      <c r="J9" s="18">
        <f>IF(B9=0,0,(E9+F9)/B9)</f>
        <v/>
      </c>
    </row>
    <row r="10">
      <c r="A10" s="19" t="inlineStr">
        <is>
          <t>TOTAL</t>
        </is>
      </c>
      <c r="B10" s="19">
        <f>SUM(B4:B9)</f>
        <v/>
      </c>
      <c r="C10" s="19">
        <f>SUM(C4:C9)</f>
        <v/>
      </c>
      <c r="D10" s="19">
        <f>SUM(D4:D9)</f>
        <v/>
      </c>
      <c r="E10" s="19">
        <f>SUM(E4:E9)</f>
        <v/>
      </c>
      <c r="F10" s="19">
        <f>SUM(F4:F9)</f>
        <v/>
      </c>
      <c r="G10" s="19">
        <f>SUM(G4:G9)</f>
        <v/>
      </c>
      <c r="H10" s="19">
        <f>SUM(H4:H9)</f>
        <v/>
      </c>
      <c r="I10" s="19">
        <f>SUM(I4:I9)</f>
        <v/>
      </c>
      <c r="J10" s="20">
        <f>IF(B10=0,0,(E10+F10)/B10)</f>
        <v/>
      </c>
    </row>
    <row r="13">
      <c r="A13" s="21" t="inlineStr">
        <is>
          <t>Légende statuts :</t>
        </is>
      </c>
    </row>
    <row r="14">
      <c r="A14" s="22" t="inlineStr">
        <is>
          <t>Ouvert</t>
        </is>
      </c>
      <c r="B14" s="23" t="inlineStr">
        <is>
          <t>En cours</t>
        </is>
      </c>
      <c r="C14" s="24" t="inlineStr">
        <is>
          <t>Résolu / Fermé</t>
        </is>
      </c>
      <c r="D14" s="25" t="inlineStr">
        <is>
          <t>Rejeté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  <col width="18" customWidth="1" min="5" max="5"/>
    <col width="14" customWidth="1" min="6" max="6"/>
    <col width="45" customWidth="1" min="7" max="7"/>
  </cols>
  <sheetData>
    <row r="1" ht="28" customHeight="1">
      <c r="A1" s="26" t="inlineStr">
        <is>
          <t>HISTORIQUE DES CHANGEMENTS — Journal Immuable</t>
        </is>
      </c>
    </row>
    <row r="2">
      <c r="A2" s="27" t="inlineStr">
        <is>
          <t>🔒  Cet onglet ne doit jamais être supprimé ni modifié rétroactivement. Ajouter une ligne à chaque changement de statut.</t>
        </is>
      </c>
    </row>
    <row r="3">
      <c r="A3" s="28" t="inlineStr">
        <is>
          <t>Horodatage</t>
        </is>
      </c>
      <c r="B3" s="28" t="inlineStr">
        <is>
          <t>ID_ANO</t>
        </is>
      </c>
      <c r="C3" s="28" t="inlineStr">
        <is>
          <t>Ancien statut</t>
        </is>
      </c>
      <c r="D3" s="28" t="inlineStr">
        <is>
          <t>Nouveau statut</t>
        </is>
      </c>
      <c r="E3" s="28" t="inlineStr">
        <is>
          <t>Modifié par</t>
        </is>
      </c>
      <c r="F3" s="28" t="inlineStr">
        <is>
          <t>Version</t>
        </is>
      </c>
      <c r="G3" s="28" t="inlineStr">
        <is>
          <t>Commentaire</t>
        </is>
      </c>
    </row>
    <row r="4">
      <c r="A4" s="11" t="inlineStr">
        <is>
          <t>15/04/2026 10:30</t>
        </is>
      </c>
      <c r="B4" s="11" t="inlineStr">
        <is>
          <t>ANO-001</t>
        </is>
      </c>
      <c r="C4" s="11" t="inlineStr">
        <is>
          <t>—</t>
        </is>
      </c>
      <c r="D4" s="11" t="inlineStr">
        <is>
          <t>Ouvert</t>
        </is>
      </c>
      <c r="E4" s="11" t="inlineStr">
        <is>
          <t>M. Bernard</t>
        </is>
      </c>
      <c r="F4" s="11" t="inlineStr">
        <is>
          <t>v1.2</t>
        </is>
      </c>
      <c r="G4" s="11" t="inlineStr">
        <is>
          <t>Anomalie créée suite aux tests de connexion</t>
        </is>
      </c>
    </row>
    <row r="5">
      <c r="A5" s="12" t="inlineStr">
        <is>
          <t>16/04/2026 09:15</t>
        </is>
      </c>
      <c r="B5" s="12" t="inlineStr">
        <is>
          <t>ANO-002</t>
        </is>
      </c>
      <c r="C5" s="12" t="inlineStr">
        <is>
          <t>—</t>
        </is>
      </c>
      <c r="D5" s="12" t="inlineStr">
        <is>
          <t>Ouvert</t>
        </is>
      </c>
      <c r="E5" s="12" t="inlineStr">
        <is>
          <t>M. Petit</t>
        </is>
      </c>
      <c r="F5" s="12" t="inlineStr">
        <is>
          <t>v1.2</t>
        </is>
      </c>
      <c r="G5" s="12" t="inlineStr">
        <is>
          <t>Anomalie créée suite à la revue des exports</t>
        </is>
      </c>
    </row>
    <row r="6">
      <c r="A6" s="11" t="inlineStr">
        <is>
          <t>17/04/2026 14:00</t>
        </is>
      </c>
      <c r="B6" s="11" t="inlineStr">
        <is>
          <t>ANO-002</t>
        </is>
      </c>
      <c r="C6" s="11" t="inlineStr">
        <is>
          <t>Ouvert</t>
        </is>
      </c>
      <c r="D6" s="11" t="inlineStr">
        <is>
          <t>En cours</t>
        </is>
      </c>
      <c r="E6" s="11" t="inlineStr">
        <is>
          <t>M. Petit</t>
        </is>
      </c>
      <c r="F6" s="11" t="inlineStr">
        <is>
          <t>v1.2</t>
        </is>
      </c>
      <c r="G6" s="11" t="inlineStr">
        <is>
          <t>Prise en charge — PR #142 ouverte</t>
        </is>
      </c>
    </row>
    <row r="7">
      <c r="A7" s="12" t="inlineStr">
        <is>
          <t>18/04/2026 08:45</t>
        </is>
      </c>
      <c r="B7" s="12" t="inlineStr">
        <is>
          <t>ANO-004</t>
        </is>
      </c>
      <c r="C7" s="12" t="inlineStr">
        <is>
          <t>—</t>
        </is>
      </c>
      <c r="D7" s="12" t="inlineStr">
        <is>
          <t>Ouvert</t>
        </is>
      </c>
      <c r="E7" s="12" t="inlineStr">
        <is>
          <t>M. Bernard</t>
        </is>
      </c>
      <c r="F7" s="12" t="inlineStr">
        <is>
          <t>v1.2</t>
        </is>
      </c>
      <c r="G7" s="12" t="inlineStr">
        <is>
          <t>Anomalie critique — escalade CP effectuée</t>
        </is>
      </c>
    </row>
    <row r="8">
      <c r="A8" s="11" t="inlineStr">
        <is>
          <t>18/04/2026 15:00</t>
        </is>
      </c>
      <c r="B8" s="11" t="inlineStr">
        <is>
          <t>ANO-004</t>
        </is>
      </c>
      <c r="C8" s="11" t="inlineStr">
        <is>
          <t>Ouvert</t>
        </is>
      </c>
      <c r="D8" s="11" t="inlineStr">
        <is>
          <t>En cours</t>
        </is>
      </c>
      <c r="E8" s="11" t="inlineStr">
        <is>
          <t>M. Bernard</t>
        </is>
      </c>
      <c r="F8" s="11" t="inlineStr">
        <is>
          <t>v1.2</t>
        </is>
      </c>
      <c r="G8" s="11" t="inlineStr">
        <is>
          <t>Patch d'urgence en développement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2026-04-19T21:42:32Z</dcterms:created>
  <dcterms:modified xmlns:dcterms="http://purl.org/dc/terms/" xmlns:xsi="http://www.w3.org/2001/XMLSchema-instance" xsi:type="dcterms:W3CDTF">2026-04-19T21:42:32Z</dcterms:modified>
</cp:coreProperties>
</file>