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cklog Consolidé" sheetId="1" state="visible" r:id="rId3"/>
    <sheet name="Tableau de Bord" sheetId="2" state="visible" r:id="rId4"/>
    <sheet name="Référentiel Projets" sheetId="3" state="visible" r:id="rId5"/>
  </sheets>
  <definedNames>
    <definedName function="false" hidden="true" localSheetId="0" name="_xlnm._FilterDatabase" vbProcedure="false">'Backlog Consolidé'!$A$4:$L$64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<sst xmlns="http://schemas.openxmlformats.org/spreadsheetml/2006/main" count="716" uniqueCount="297">
  <si>
    <t xml:space="preserve">BACKLOG CONSOLIDÉ — PORTEFEUILLE PROJETS INFORMATIQUES — CYCLE EN V</t>
  </si>
  <si>
    <t xml:space="preserve">Dernière mise à jour : 23/04/2026    |    Projets actifs : 4    |    Items totaux : 60</t>
  </si>
  <si>
    <t xml:space="preserve">ID Item</t>
  </si>
  <si>
    <t xml:space="preserve">Code Projet</t>
  </si>
  <si>
    <t xml:space="preserve">Nom du Projet</t>
  </si>
  <si>
    <t xml:space="preserve">Phase Cycle en V</t>
  </si>
  <si>
    <t xml:space="preserve">Titre de l'Item</t>
  </si>
  <si>
    <t xml:space="preserve">Responsable</t>
  </si>
  <si>
    <t xml:space="preserve">Priorité</t>
  </si>
  <si>
    <t xml:space="preserve">Effort (j)</t>
  </si>
  <si>
    <t xml:space="preserve">Date Début</t>
  </si>
  <si>
    <t xml:space="preserve">Date Fin Prévue</t>
  </si>
  <si>
    <t xml:space="preserve">Statut</t>
  </si>
  <si>
    <t xml:space="preserve">Commentaires</t>
  </si>
  <si>
    <t xml:space="preserve">BL-001</t>
  </si>
  <si>
    <t xml:space="preserve">PROJ-001</t>
  </si>
  <si>
    <t xml:space="preserve">Refonte SI Gestion des Incidents</t>
  </si>
  <si>
    <t xml:space="preserve">Expression des Besoins</t>
  </si>
  <si>
    <t xml:space="preserve">Cartographie des processus de gestion des incidents</t>
  </si>
  <si>
    <t xml:space="preserve">M. Dupont</t>
  </si>
  <si>
    <t xml:space="preserve">P1</t>
  </si>
  <si>
    <t xml:space="preserve">01/03/2025</t>
  </si>
  <si>
    <t xml:space="preserve">14/03/2025</t>
  </si>
  <si>
    <t xml:space="preserve">Terminé</t>
  </si>
  <si>
    <t xml:space="preserve">Livrables validés en atelier métier</t>
  </si>
  <si>
    <t xml:space="preserve">BL-002</t>
  </si>
  <si>
    <t xml:space="preserve">Conception Générale</t>
  </si>
  <si>
    <t xml:space="preserve">Rédaction du dossier d'architecture applicative cible</t>
  </si>
  <si>
    <t xml:space="preserve">17/03/2025</t>
  </si>
  <si>
    <t xml:space="preserve">04/04/2025</t>
  </si>
  <si>
    <t xml:space="preserve">En cours</t>
  </si>
  <si>
    <t xml:space="preserve">Dépend BL-001</t>
  </si>
  <si>
    <t xml:space="preserve">BL-003</t>
  </si>
  <si>
    <t xml:space="preserve">Revue des interfaces avec les systèmes tiers (ITSM, AD)</t>
  </si>
  <si>
    <t xml:space="preserve">Mme Simon</t>
  </si>
  <si>
    <t xml:space="preserve">P2</t>
  </si>
  <si>
    <t xml:space="preserve">07/04/2025</t>
  </si>
  <si>
    <t xml:space="preserve">11/04/2025</t>
  </si>
  <si>
    <t xml:space="preserve">A faire</t>
  </si>
  <si>
    <t xml:space="preserve">Dépend BL-002</t>
  </si>
  <si>
    <t xml:space="preserve">BL-004</t>
  </si>
  <si>
    <t xml:space="preserve">Validation de l'architecture en COPIL technique</t>
  </si>
  <si>
    <t xml:space="preserve">14/04/2025</t>
  </si>
  <si>
    <t xml:space="preserve">15/04/2025</t>
  </si>
  <si>
    <t xml:space="preserve">Nécessite présence DSI</t>
  </si>
  <si>
    <t xml:space="preserve">BL-005</t>
  </si>
  <si>
    <t xml:space="preserve">Conception Détaillée</t>
  </si>
  <si>
    <t xml:space="preserve">Spécification des API REST entre modules</t>
  </si>
  <si>
    <t xml:space="preserve">Equipe Dev</t>
  </si>
  <si>
    <t xml:space="preserve">22/04/2025</t>
  </si>
  <si>
    <t xml:space="preserve">05/05/2025</t>
  </si>
  <si>
    <t xml:space="preserve">Dépend BL-004</t>
  </si>
  <si>
    <t xml:space="preserve">BL-006</t>
  </si>
  <si>
    <t xml:space="preserve">Réalisation</t>
  </si>
  <si>
    <t xml:space="preserve">Développement module création et mise à jour des incidents</t>
  </si>
  <si>
    <t xml:space="preserve">12/05/2025</t>
  </si>
  <si>
    <t xml:space="preserve">06/06/2025</t>
  </si>
  <si>
    <t xml:space="preserve">Dépend BL-005</t>
  </si>
  <si>
    <t xml:space="preserve">BL-007</t>
  </si>
  <si>
    <t xml:space="preserve">Développement connecteur LDAP / Active Directory</t>
  </si>
  <si>
    <t xml:space="preserve">M. Lefort</t>
  </si>
  <si>
    <t xml:space="preserve">02/06/2025</t>
  </si>
  <si>
    <t xml:space="preserve">13/06/2025</t>
  </si>
  <si>
    <t xml:space="preserve">BL-008</t>
  </si>
  <si>
    <t xml:space="preserve">Intégration</t>
  </si>
  <si>
    <t xml:space="preserve">Tests d'intégration entre modules applicatifs</t>
  </si>
  <si>
    <t xml:space="preserve">Equipe QA</t>
  </si>
  <si>
    <t xml:space="preserve">16/06/2025</t>
  </si>
  <si>
    <t xml:space="preserve">25/06/2025</t>
  </si>
  <si>
    <t xml:space="preserve">Dépend BL-006 BL-007</t>
  </si>
  <si>
    <t xml:space="preserve">BL-009</t>
  </si>
  <si>
    <t xml:space="preserve">Recette</t>
  </si>
  <si>
    <t xml:space="preserve">Rédaction et exécution des cas de test fonctionnels</t>
  </si>
  <si>
    <t xml:space="preserve">30/06/2025</t>
  </si>
  <si>
    <t xml:space="preserve">07/07/2025</t>
  </si>
  <si>
    <t xml:space="preserve">Dépend BL-008</t>
  </si>
  <si>
    <t xml:space="preserve">BL-010</t>
  </si>
  <si>
    <t xml:space="preserve">Correction des anomalies bloquantes (sévérité 1 et 2)</t>
  </si>
  <si>
    <t xml:space="preserve">08/07/2025</t>
  </si>
  <si>
    <t xml:space="preserve">18/07/2025</t>
  </si>
  <si>
    <t xml:space="preserve">BL-011</t>
  </si>
  <si>
    <t xml:space="preserve">Validation et signature du PV de recette</t>
  </si>
  <si>
    <t xml:space="preserve">21/07/2025</t>
  </si>
  <si>
    <t xml:space="preserve">22/07/2025</t>
  </si>
  <si>
    <t xml:space="preserve">BL-012</t>
  </si>
  <si>
    <t xml:space="preserve">Déploiement</t>
  </si>
  <si>
    <t xml:space="preserve">Mise en production et documentation technique</t>
  </si>
  <si>
    <t xml:space="preserve">01/09/2025</t>
  </si>
  <si>
    <t xml:space="preserve">05/09/2025</t>
  </si>
  <si>
    <t xml:space="preserve">BL-013</t>
  </si>
  <si>
    <t xml:space="preserve">Formation des administrateurs et utilisateurs clés</t>
  </si>
  <si>
    <t xml:space="preserve">08/09/2025</t>
  </si>
  <si>
    <t xml:space="preserve">10/09/2025</t>
  </si>
  <si>
    <t xml:space="preserve">BL-014</t>
  </si>
  <si>
    <t xml:space="preserve">Bilan post-déploiement et clôture du projet</t>
  </si>
  <si>
    <t xml:space="preserve">22/09/2025</t>
  </si>
  <si>
    <t xml:space="preserve">23/09/2025</t>
  </si>
  <si>
    <t xml:space="preserve">BL-015</t>
  </si>
  <si>
    <t xml:space="preserve">Modélisation UML des classes métier incidents</t>
  </si>
  <si>
    <t xml:space="preserve">02/05/2025</t>
  </si>
  <si>
    <t xml:space="preserve">BL-016</t>
  </si>
  <si>
    <t xml:space="preserve">PROJ-002</t>
  </si>
  <si>
    <t xml:space="preserve">Migration Data Warehouse Cloud</t>
  </si>
  <si>
    <t xml:space="preserve">Atelier recueil des besoins analytiques métier</t>
  </si>
  <si>
    <t xml:space="preserve">Mme Martin</t>
  </si>
  <si>
    <t xml:space="preserve">01/04/2025</t>
  </si>
  <si>
    <t xml:space="preserve">08/04/2025</t>
  </si>
  <si>
    <t xml:space="preserve">Ateliers réalisés avec 4 directions</t>
  </si>
  <si>
    <t xml:space="preserve">BL-017</t>
  </si>
  <si>
    <t xml:space="preserve">Inventaire et qualification des sources de données existantes</t>
  </si>
  <si>
    <t xml:space="preserve">10/04/2025</t>
  </si>
  <si>
    <t xml:space="preserve">45 sources identifiées</t>
  </si>
  <si>
    <t xml:space="preserve">BL-018</t>
  </si>
  <si>
    <t xml:space="preserve">Modélisation du schéma de données cible (étoile/flocon)</t>
  </si>
  <si>
    <t xml:space="preserve">25/04/2025</t>
  </si>
  <si>
    <t xml:space="preserve">Dépend BL-016 BL-017</t>
  </si>
  <si>
    <t xml:space="preserve">BL-019</t>
  </si>
  <si>
    <t xml:space="preserve">Choix de la plateforme cloud (Azure Synapse vs Databricks)</t>
  </si>
  <si>
    <t xml:space="preserve">18/04/2025</t>
  </si>
  <si>
    <t xml:space="preserve">POC en cours</t>
  </si>
  <si>
    <t xml:space="preserve">BL-020</t>
  </si>
  <si>
    <t xml:space="preserve">Conception des pipelines ETL/ELT (Azure Data Factory)</t>
  </si>
  <si>
    <t xml:space="preserve">28/04/2025</t>
  </si>
  <si>
    <t xml:space="preserve">13/05/2025</t>
  </si>
  <si>
    <t xml:space="preserve">Dépend BL-018 BL-019</t>
  </si>
  <si>
    <t xml:space="preserve">BL-021</t>
  </si>
  <si>
    <t xml:space="preserve">Architecture couche Gold/Silver/Bronze (Medallion)</t>
  </si>
  <si>
    <t xml:space="preserve">07/05/2025</t>
  </si>
  <si>
    <t xml:space="preserve">BL-022</t>
  </si>
  <si>
    <t xml:space="preserve">Développement des scripts de migration historique</t>
  </si>
  <si>
    <t xml:space="preserve">19/05/2025</t>
  </si>
  <si>
    <t xml:space="preserve">Dépend BL-020</t>
  </si>
  <si>
    <t xml:space="preserve">BL-023</t>
  </si>
  <si>
    <t xml:space="preserve">Développement des flux temps réel (streaming Kafka)</t>
  </si>
  <si>
    <t xml:space="preserve">BL-024</t>
  </si>
  <si>
    <t xml:space="preserve">Mise en place des règles de qualité des données (DQ)</t>
  </si>
  <si>
    <t xml:space="preserve">27/06/2025</t>
  </si>
  <si>
    <t xml:space="preserve">BL-025</t>
  </si>
  <si>
    <t xml:space="preserve">Tests de charge et de performance du DWH</t>
  </si>
  <si>
    <t xml:space="preserve">09/07/2025</t>
  </si>
  <si>
    <t xml:space="preserve">BL-026</t>
  </si>
  <si>
    <t xml:space="preserve">Validation des données migrées par les équipes métier</t>
  </si>
  <si>
    <t xml:space="preserve">14/07/2025</t>
  </si>
  <si>
    <t xml:space="preserve">25/07/2025</t>
  </si>
  <si>
    <t xml:space="preserve">BL-027</t>
  </si>
  <si>
    <t xml:space="preserve">Tests de non-régression des rapports existants</t>
  </si>
  <si>
    <t xml:space="preserve">28/07/2025</t>
  </si>
  <si>
    <t xml:space="preserve">06/08/2025</t>
  </si>
  <si>
    <t xml:space="preserve">BL-028</t>
  </si>
  <si>
    <t xml:space="preserve">Correction des écarts de données identifiés</t>
  </si>
  <si>
    <t xml:space="preserve">11/08/2025</t>
  </si>
  <si>
    <t xml:space="preserve">22/08/2025</t>
  </si>
  <si>
    <t xml:space="preserve">BL-029</t>
  </si>
  <si>
    <t xml:space="preserve">Bascule progressive vers le nouveau DWH (pilote)</t>
  </si>
  <si>
    <t xml:space="preserve">01/12/2025</t>
  </si>
  <si>
    <t xml:space="preserve">05/12/2025</t>
  </si>
  <si>
    <t xml:space="preserve">BL-030</t>
  </si>
  <si>
    <t xml:space="preserve">Mise en production complète et décommissionnement ancien DWH</t>
  </si>
  <si>
    <t xml:space="preserve">15/12/2025</t>
  </si>
  <si>
    <t xml:space="preserve">19/12/2025</t>
  </si>
  <si>
    <t xml:space="preserve">BL-031</t>
  </si>
  <si>
    <t xml:space="preserve">PROJ-003</t>
  </si>
  <si>
    <t xml:space="preserve">Portail Self-Service Utilisateurs</t>
  </si>
  <si>
    <t xml:space="preserve">Ateliers de recueil des besoins utilisateurs</t>
  </si>
  <si>
    <t xml:space="preserve">M. Bernard</t>
  </si>
  <si>
    <t xml:space="preserve">01/01/2025</t>
  </si>
  <si>
    <t xml:space="preserve">07/01/2025</t>
  </si>
  <si>
    <t xml:space="preserve">BL-032</t>
  </si>
  <si>
    <t xml:space="preserve">Maquettage des interfaces (wireframes)</t>
  </si>
  <si>
    <t xml:space="preserve">Equipe UX</t>
  </si>
  <si>
    <t xml:space="preserve">08/01/2025</t>
  </si>
  <si>
    <t xml:space="preserve">17/01/2025</t>
  </si>
  <si>
    <t xml:space="preserve">Validé COPIL</t>
  </si>
  <si>
    <t xml:space="preserve">BL-033</t>
  </si>
  <si>
    <t xml:space="preserve">Architecture applicative du portail (frontend/backend)</t>
  </si>
  <si>
    <t xml:space="preserve">20/01/2025</t>
  </si>
  <si>
    <t xml:space="preserve">27/01/2025</t>
  </si>
  <si>
    <t xml:space="preserve">BL-034</t>
  </si>
  <si>
    <t xml:space="preserve">Spécification des workflows self-service (reset MDP, création compte)</t>
  </si>
  <si>
    <t xml:space="preserve">28/01/2025</t>
  </si>
  <si>
    <t xml:space="preserve">06/02/2025</t>
  </si>
  <si>
    <t xml:space="preserve">BL-035</t>
  </si>
  <si>
    <t xml:space="preserve">Développement frontend React — pages principales</t>
  </si>
  <si>
    <t xml:space="preserve">10/02/2025</t>
  </si>
  <si>
    <t xml:space="preserve">07/03/2025</t>
  </si>
  <si>
    <t xml:space="preserve">BL-036</t>
  </si>
  <si>
    <t xml:space="preserve">Développement API backend (Node.js)</t>
  </si>
  <si>
    <t xml:space="preserve">03/03/2025</t>
  </si>
  <si>
    <t xml:space="preserve">BL-037</t>
  </si>
  <si>
    <t xml:space="preserve">Intégration SSO / SAML avec l'Active Directory</t>
  </si>
  <si>
    <t xml:space="preserve">10/03/2025</t>
  </si>
  <si>
    <t xml:space="preserve">21/03/2025</t>
  </si>
  <si>
    <t xml:space="preserve">BL-038</t>
  </si>
  <si>
    <t xml:space="preserve">Tests d'intégration frontend et backend</t>
  </si>
  <si>
    <t xml:space="preserve">24/03/2025</t>
  </si>
  <si>
    <t xml:space="preserve">31/03/2025</t>
  </si>
  <si>
    <t xml:space="preserve">BL-039</t>
  </si>
  <si>
    <t xml:space="preserve">Rédaction des cas de test fonctionnels utilisateurs</t>
  </si>
  <si>
    <t xml:space="preserve">En retard de 5j</t>
  </si>
  <si>
    <t xml:space="preserve">BL-040</t>
  </si>
  <si>
    <t xml:space="preserve">Exécution des tests de non-régression (TNR)</t>
  </si>
  <si>
    <t xml:space="preserve">BL-041</t>
  </si>
  <si>
    <t xml:space="preserve">14/05/2025</t>
  </si>
  <si>
    <t xml:space="preserve">12 anomalies dont 3 bloquantes</t>
  </si>
  <si>
    <t xml:space="preserve">BL-042</t>
  </si>
  <si>
    <t xml:space="preserve">Tests d'accessibilité RGAA niveau AA</t>
  </si>
  <si>
    <t xml:space="preserve">22/05/2025</t>
  </si>
  <si>
    <t xml:space="preserve">BL-043</t>
  </si>
  <si>
    <t xml:space="preserve">26/05/2025</t>
  </si>
  <si>
    <t xml:space="preserve">27/05/2025</t>
  </si>
  <si>
    <t xml:space="preserve">BL-044</t>
  </si>
  <si>
    <t xml:space="preserve">Formation des utilisateurs clés et administrateurs</t>
  </si>
  <si>
    <t xml:space="preserve">20/06/2025</t>
  </si>
  <si>
    <t xml:space="preserve">BL-045</t>
  </si>
  <si>
    <t xml:space="preserve">Mise en production et ouverture aux utilisateurs</t>
  </si>
  <si>
    <t xml:space="preserve">BL-046</t>
  </si>
  <si>
    <t xml:space="preserve">PROJ-004</t>
  </si>
  <si>
    <t xml:space="preserve">Tableau de Bord BI / Reporting Exécutif</t>
  </si>
  <si>
    <t xml:space="preserve">Ateliers de définition des KPIs et indicateurs exécutifs</t>
  </si>
  <si>
    <t xml:space="preserve">M. Leroy</t>
  </si>
  <si>
    <t xml:space="preserve">01/05/2025</t>
  </si>
  <si>
    <t xml:space="preserve">08/05/2025</t>
  </si>
  <si>
    <t xml:space="preserve">12 KPIs retenus</t>
  </si>
  <si>
    <t xml:space="preserve">BL-047</t>
  </si>
  <si>
    <t xml:space="preserve">Inventaire des sources de données disponibles</t>
  </si>
  <si>
    <t xml:space="preserve">06/05/2025</t>
  </si>
  <si>
    <t xml:space="preserve">BL-048</t>
  </si>
  <si>
    <t xml:space="preserve">Architecture de la solution BI (Power BI Premium)</t>
  </si>
  <si>
    <t xml:space="preserve">16/05/2025</t>
  </si>
  <si>
    <t xml:space="preserve">BL-049</t>
  </si>
  <si>
    <t xml:space="preserve">Conception des tableaux de bord et maquettes visuelles</t>
  </si>
  <si>
    <t xml:space="preserve">28/05/2025</t>
  </si>
  <si>
    <t xml:space="preserve">BL-050</t>
  </si>
  <si>
    <t xml:space="preserve">Modélisation du modèle sémantique Power BI (DAX)</t>
  </si>
  <si>
    <t xml:space="preserve">BL-051</t>
  </si>
  <si>
    <t xml:space="preserve">Développement des rapports Power BI — tableau de bord exécutif</t>
  </si>
  <si>
    <t xml:space="preserve">Equipe BI</t>
  </si>
  <si>
    <t xml:space="preserve">04/07/2025</t>
  </si>
  <si>
    <t xml:space="preserve">BL-052</t>
  </si>
  <si>
    <t xml:space="preserve">Développement des rapports opérationnels par direction</t>
  </si>
  <si>
    <t xml:space="preserve">BL-053</t>
  </si>
  <si>
    <t xml:space="preserve">Intégration des flux de données temps réel (streaming)</t>
  </si>
  <si>
    <t xml:space="preserve">05/08/2025</t>
  </si>
  <si>
    <t xml:space="preserve">BL-054</t>
  </si>
  <si>
    <t xml:space="preserve">Mise en place des droits d'accès et sécurité RLS</t>
  </si>
  <si>
    <t xml:space="preserve">15/08/2025</t>
  </si>
  <si>
    <t xml:space="preserve">BL-055</t>
  </si>
  <si>
    <t xml:space="preserve">Tests de cohérence des données vs sources</t>
  </si>
  <si>
    <t xml:space="preserve">18/08/2025</t>
  </si>
  <si>
    <t xml:space="preserve">27/08/2025</t>
  </si>
  <si>
    <t xml:space="preserve">BL-056</t>
  </si>
  <si>
    <t xml:space="preserve">Validation des KPIs par les directions métier</t>
  </si>
  <si>
    <t xml:space="preserve">12/09/2025</t>
  </si>
  <si>
    <t xml:space="preserve">BL-057</t>
  </si>
  <si>
    <t xml:space="preserve">Tests de performance (temps de chargement &lt; 3s)</t>
  </si>
  <si>
    <t xml:space="preserve">15/09/2025</t>
  </si>
  <si>
    <t xml:space="preserve">19/09/2025</t>
  </si>
  <si>
    <t xml:space="preserve">BL-058</t>
  </si>
  <si>
    <t xml:space="preserve">Correction des anomalies et ajustements visuels</t>
  </si>
  <si>
    <t xml:space="preserve">01/10/2025</t>
  </si>
  <si>
    <t xml:space="preserve">BL-059</t>
  </si>
  <si>
    <t xml:space="preserve">06/10/2025</t>
  </si>
  <si>
    <t xml:space="preserve">07/10/2025</t>
  </si>
  <si>
    <t xml:space="preserve">BL-060</t>
  </si>
  <si>
    <t xml:space="preserve">Déploiement en production et formation des utilisateurs</t>
  </si>
  <si>
    <t xml:space="preserve">10/02/2026</t>
  </si>
  <si>
    <t xml:space="preserve">16/02/2026</t>
  </si>
  <si>
    <t xml:space="preserve">TABLEAU DE BORD — PORTEFEUILLE PROJETS IT</t>
  </si>
  <si>
    <t xml:space="preserve">SYNTHESE GLOBALE DU PORTEFEUILLE</t>
  </si>
  <si>
    <t xml:space="preserve">Indicateur</t>
  </si>
  <si>
    <t xml:space="preserve">Valeur</t>
  </si>
  <si>
    <t xml:space="preserve">% du total</t>
  </si>
  <si>
    <t xml:space="preserve">Total items backlog</t>
  </si>
  <si>
    <t xml:space="preserve">Items Terminés</t>
  </si>
  <si>
    <t xml:space="preserve">Items En cours</t>
  </si>
  <si>
    <t xml:space="preserve">Items A faire</t>
  </si>
  <si>
    <t xml:space="preserve">Items Bloqués</t>
  </si>
  <si>
    <t xml:space="preserve">Items Annulés</t>
  </si>
  <si>
    <t xml:space="preserve">Effort total estimé (j)</t>
  </si>
  <si>
    <t xml:space="preserve">Effort réalisé estimé (j)</t>
  </si>
  <si>
    <t xml:space="preserve">Effort restant (j)</t>
  </si>
  <si>
    <t xml:space="preserve">Taux de complétion (effort)</t>
  </si>
  <si>
    <t xml:space="preserve">AVANCEMENT PAR PROJET</t>
  </si>
  <si>
    <t xml:space="preserve">Projet</t>
  </si>
  <si>
    <t xml:space="preserve">Nom</t>
  </si>
  <si>
    <t xml:space="preserve">Total</t>
  </si>
  <si>
    <t xml:space="preserve">Bloqué</t>
  </si>
  <si>
    <t xml:space="preserve">% Terminé</t>
  </si>
  <si>
    <t xml:space="preserve">TOTAL</t>
  </si>
  <si>
    <t xml:space="preserve">REPARTITION PAR PHASE CYCLE EN V</t>
  </si>
  <si>
    <t xml:space="preserve">REFERENTIEL DES PROJETS DU PORTEFEUILLE</t>
  </si>
  <si>
    <t xml:space="preserve">Chef de Projet</t>
  </si>
  <si>
    <t xml:space="preserve">Phase Courante</t>
  </si>
  <si>
    <t xml:space="preserve">30/09/2025</t>
  </si>
  <si>
    <t xml:space="preserve">31/12/2025</t>
  </si>
  <si>
    <t xml:space="preserve">15/07/2025</t>
  </si>
  <si>
    <t xml:space="preserve">28/02/2026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</si>
</sst>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000000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D9D9D9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32"/>
    <col collapsed="false" customWidth="true" hidden="false" outlineLevel="0" max="4" min="4" style="0" width="22"/>
    <col collapsed="false" customWidth="true" hidden="false" outlineLevel="0" max="5" min="5" style="0" width="48"/>
    <col collapsed="false" customWidth="true" hidden="false" outlineLevel="0" max="6" min="6" style="0" width="18"/>
    <col collapsed="false" customWidth="true" hidden="false" outlineLevel="0" max="7" min="7" style="0" width="9"/>
    <col collapsed="false" customWidth="true" hidden="false" outlineLevel="0" max="8" min="8" style="0" width="10"/>
    <col collapsed="false" customWidth="true" hidden="false" outlineLevel="0" max="9" min="9" style="0" width="13"/>
    <col collapsed="false" customWidth="true" hidden="false" outlineLevel="0" max="10" min="10" style="0" width="14"/>
    <col collapsed="false" customWidth="true" hidden="false" outlineLevel="0" max="11" min="11" style="0" width="13"/>
    <col collapsed="false" customWidth="true" hidden="false" outlineLevel="0" max="12" min="12" style="0" width="35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6" hidden="false" customHeight="true" outlineLevel="0" collapsed="false"/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customFormat="false" ht="21.75" hidden="false" customHeight="true" outlineLevel="0" collapsed="false">
      <c r="A5" s="4" t="s">
        <v>14</v>
      </c>
      <c r="B5" s="4" t="s">
        <v>15</v>
      </c>
      <c r="C5" s="5" t="s">
        <v>16</v>
      </c>
      <c r="D5" s="5" t="s">
        <v>17</v>
      </c>
      <c r="E5" s="5" t="s">
        <v>18</v>
      </c>
      <c r="F5" s="5" t="s">
        <v>19</v>
      </c>
      <c r="G5" s="4" t="s">
        <v>20</v>
      </c>
      <c r="H5" s="6" t="n">
        <v>8</v>
      </c>
      <c r="I5" s="6" t="s">
        <v>21</v>
      </c>
      <c r="J5" s="6" t="s">
        <v>22</v>
      </c>
      <c r="K5" s="6" t="s">
        <v>23</v>
      </c>
      <c r="L5" s="5" t="s">
        <v>24</v>
      </c>
    </row>
    <row r="6" customFormat="false" ht="21.75" hidden="false" customHeight="true" outlineLevel="0" collapsed="false">
      <c r="A6" s="7" t="s">
        <v>25</v>
      </c>
      <c r="B6" s="7" t="s">
        <v>15</v>
      </c>
      <c r="C6" s="8" t="s">
        <v>16</v>
      </c>
      <c r="D6" s="8" t="s">
        <v>26</v>
      </c>
      <c r="E6" s="8" t="s">
        <v>27</v>
      </c>
      <c r="F6" s="8" t="s">
        <v>19</v>
      </c>
      <c r="G6" s="7" t="s">
        <v>20</v>
      </c>
      <c r="H6" s="9" t="n">
        <v>13</v>
      </c>
      <c r="I6" s="9" t="s">
        <v>28</v>
      </c>
      <c r="J6" s="9" t="s">
        <v>29</v>
      </c>
      <c r="K6" s="9" t="s">
        <v>30</v>
      </c>
      <c r="L6" s="8" t="s">
        <v>31</v>
      </c>
    </row>
    <row r="7" customFormat="false" ht="21.75" hidden="false" customHeight="true" outlineLevel="0" collapsed="false">
      <c r="A7" s="4" t="s">
        <v>32</v>
      </c>
      <c r="B7" s="4" t="s">
        <v>15</v>
      </c>
      <c r="C7" s="5" t="s">
        <v>16</v>
      </c>
      <c r="D7" s="5" t="s">
        <v>26</v>
      </c>
      <c r="E7" s="5" t="s">
        <v>33</v>
      </c>
      <c r="F7" s="5" t="s">
        <v>34</v>
      </c>
      <c r="G7" s="4" t="s">
        <v>35</v>
      </c>
      <c r="H7" s="6" t="n">
        <v>5</v>
      </c>
      <c r="I7" s="6" t="s">
        <v>36</v>
      </c>
      <c r="J7" s="6" t="s">
        <v>37</v>
      </c>
      <c r="K7" s="6" t="s">
        <v>38</v>
      </c>
      <c r="L7" s="5" t="s">
        <v>39</v>
      </c>
    </row>
    <row r="8" customFormat="false" ht="21.75" hidden="false" customHeight="true" outlineLevel="0" collapsed="false">
      <c r="A8" s="7" t="s">
        <v>40</v>
      </c>
      <c r="B8" s="7" t="s">
        <v>15</v>
      </c>
      <c r="C8" s="8" t="s">
        <v>16</v>
      </c>
      <c r="D8" s="8" t="s">
        <v>26</v>
      </c>
      <c r="E8" s="8" t="s">
        <v>41</v>
      </c>
      <c r="F8" s="8" t="s">
        <v>19</v>
      </c>
      <c r="G8" s="7" t="s">
        <v>20</v>
      </c>
      <c r="H8" s="9" t="n">
        <v>2</v>
      </c>
      <c r="I8" s="9" t="s">
        <v>42</v>
      </c>
      <c r="J8" s="9" t="s">
        <v>43</v>
      </c>
      <c r="K8" s="9" t="s">
        <v>38</v>
      </c>
      <c r="L8" s="8" t="s">
        <v>44</v>
      </c>
    </row>
    <row r="9" customFormat="false" ht="21.75" hidden="false" customHeight="true" outlineLevel="0" collapsed="false">
      <c r="A9" s="4" t="s">
        <v>45</v>
      </c>
      <c r="B9" s="4" t="s">
        <v>15</v>
      </c>
      <c r="C9" s="5" t="s">
        <v>16</v>
      </c>
      <c r="D9" s="5" t="s">
        <v>46</v>
      </c>
      <c r="E9" s="5" t="s">
        <v>47</v>
      </c>
      <c r="F9" s="5" t="s">
        <v>48</v>
      </c>
      <c r="G9" s="4" t="s">
        <v>20</v>
      </c>
      <c r="H9" s="6" t="n">
        <v>10</v>
      </c>
      <c r="I9" s="6" t="s">
        <v>49</v>
      </c>
      <c r="J9" s="6" t="s">
        <v>50</v>
      </c>
      <c r="K9" s="6" t="s">
        <v>38</v>
      </c>
      <c r="L9" s="5" t="s">
        <v>51</v>
      </c>
    </row>
    <row r="10" customFormat="false" ht="21.75" hidden="false" customHeight="true" outlineLevel="0" collapsed="false">
      <c r="A10" s="7" t="s">
        <v>52</v>
      </c>
      <c r="B10" s="7" t="s">
        <v>15</v>
      </c>
      <c r="C10" s="8" t="s">
        <v>16</v>
      </c>
      <c r="D10" s="8" t="s">
        <v>53</v>
      </c>
      <c r="E10" s="8" t="s">
        <v>54</v>
      </c>
      <c r="F10" s="8" t="s">
        <v>48</v>
      </c>
      <c r="G10" s="7" t="s">
        <v>20</v>
      </c>
      <c r="H10" s="9" t="n">
        <v>20</v>
      </c>
      <c r="I10" s="9" t="s">
        <v>55</v>
      </c>
      <c r="J10" s="9" t="s">
        <v>56</v>
      </c>
      <c r="K10" s="9" t="s">
        <v>38</v>
      </c>
      <c r="L10" s="8" t="s">
        <v>57</v>
      </c>
    </row>
    <row r="11" customFormat="false" ht="21.75" hidden="false" customHeight="true" outlineLevel="0" collapsed="false">
      <c r="A11" s="4" t="s">
        <v>58</v>
      </c>
      <c r="B11" s="4" t="s">
        <v>15</v>
      </c>
      <c r="C11" s="5" t="s">
        <v>16</v>
      </c>
      <c r="D11" s="5" t="s">
        <v>53</v>
      </c>
      <c r="E11" s="5" t="s">
        <v>59</v>
      </c>
      <c r="F11" s="5" t="s">
        <v>60</v>
      </c>
      <c r="G11" s="4" t="s">
        <v>35</v>
      </c>
      <c r="H11" s="6" t="n">
        <v>10</v>
      </c>
      <c r="I11" s="6" t="s">
        <v>61</v>
      </c>
      <c r="J11" s="6" t="s">
        <v>62</v>
      </c>
      <c r="K11" s="6" t="s">
        <v>38</v>
      </c>
      <c r="L11" s="5"/>
    </row>
    <row r="12" customFormat="false" ht="21.75" hidden="false" customHeight="true" outlineLevel="0" collapsed="false">
      <c r="A12" s="7" t="s">
        <v>63</v>
      </c>
      <c r="B12" s="7" t="s">
        <v>15</v>
      </c>
      <c r="C12" s="8" t="s">
        <v>16</v>
      </c>
      <c r="D12" s="8" t="s">
        <v>64</v>
      </c>
      <c r="E12" s="8" t="s">
        <v>65</v>
      </c>
      <c r="F12" s="8" t="s">
        <v>66</v>
      </c>
      <c r="G12" s="7" t="s">
        <v>20</v>
      </c>
      <c r="H12" s="9" t="n">
        <v>8</v>
      </c>
      <c r="I12" s="9" t="s">
        <v>67</v>
      </c>
      <c r="J12" s="9" t="s">
        <v>68</v>
      </c>
      <c r="K12" s="9" t="s">
        <v>38</v>
      </c>
      <c r="L12" s="8" t="s">
        <v>69</v>
      </c>
    </row>
    <row r="13" customFormat="false" ht="21.75" hidden="false" customHeight="true" outlineLevel="0" collapsed="false">
      <c r="A13" s="4" t="s">
        <v>70</v>
      </c>
      <c r="B13" s="4" t="s">
        <v>15</v>
      </c>
      <c r="C13" s="5" t="s">
        <v>16</v>
      </c>
      <c r="D13" s="5" t="s">
        <v>71</v>
      </c>
      <c r="E13" s="5" t="s">
        <v>72</v>
      </c>
      <c r="F13" s="5" t="s">
        <v>19</v>
      </c>
      <c r="G13" s="4" t="s">
        <v>20</v>
      </c>
      <c r="H13" s="6" t="n">
        <v>6</v>
      </c>
      <c r="I13" s="6" t="s">
        <v>73</v>
      </c>
      <c r="J13" s="6" t="s">
        <v>74</v>
      </c>
      <c r="K13" s="6" t="s">
        <v>38</v>
      </c>
      <c r="L13" s="5" t="s">
        <v>75</v>
      </c>
    </row>
    <row r="14" customFormat="false" ht="21.75" hidden="false" customHeight="true" outlineLevel="0" collapsed="false">
      <c r="A14" s="7" t="s">
        <v>76</v>
      </c>
      <c r="B14" s="7" t="s">
        <v>15</v>
      </c>
      <c r="C14" s="8" t="s">
        <v>16</v>
      </c>
      <c r="D14" s="8" t="s">
        <v>71</v>
      </c>
      <c r="E14" s="8" t="s">
        <v>77</v>
      </c>
      <c r="F14" s="8" t="s">
        <v>48</v>
      </c>
      <c r="G14" s="7" t="s">
        <v>20</v>
      </c>
      <c r="H14" s="9" t="n">
        <v>8</v>
      </c>
      <c r="I14" s="9" t="s">
        <v>78</v>
      </c>
      <c r="J14" s="9" t="s">
        <v>79</v>
      </c>
      <c r="K14" s="9" t="s">
        <v>38</v>
      </c>
      <c r="L14" s="8"/>
    </row>
    <row r="15" customFormat="false" ht="21.75" hidden="false" customHeight="true" outlineLevel="0" collapsed="false">
      <c r="A15" s="4" t="s">
        <v>80</v>
      </c>
      <c r="B15" s="4" t="s">
        <v>15</v>
      </c>
      <c r="C15" s="5" t="s">
        <v>16</v>
      </c>
      <c r="D15" s="5" t="s">
        <v>71</v>
      </c>
      <c r="E15" s="5" t="s">
        <v>81</v>
      </c>
      <c r="F15" s="5" t="s">
        <v>19</v>
      </c>
      <c r="G15" s="4" t="s">
        <v>20</v>
      </c>
      <c r="H15" s="6" t="n">
        <v>2</v>
      </c>
      <c r="I15" s="6" t="s">
        <v>82</v>
      </c>
      <c r="J15" s="6" t="s">
        <v>83</v>
      </c>
      <c r="K15" s="6" t="s">
        <v>38</v>
      </c>
      <c r="L15" s="5"/>
    </row>
    <row r="16" customFormat="false" ht="21.75" hidden="false" customHeight="true" outlineLevel="0" collapsed="false">
      <c r="A16" s="7" t="s">
        <v>84</v>
      </c>
      <c r="B16" s="7" t="s">
        <v>15</v>
      </c>
      <c r="C16" s="8" t="s">
        <v>16</v>
      </c>
      <c r="D16" s="8" t="s">
        <v>85</v>
      </c>
      <c r="E16" s="8" t="s">
        <v>86</v>
      </c>
      <c r="F16" s="8" t="s">
        <v>48</v>
      </c>
      <c r="G16" s="7" t="s">
        <v>20</v>
      </c>
      <c r="H16" s="9" t="n">
        <v>5</v>
      </c>
      <c r="I16" s="9" t="s">
        <v>87</v>
      </c>
      <c r="J16" s="9" t="s">
        <v>88</v>
      </c>
      <c r="K16" s="9" t="s">
        <v>38</v>
      </c>
      <c r="L16" s="8"/>
    </row>
    <row r="17" customFormat="false" ht="21.75" hidden="false" customHeight="true" outlineLevel="0" collapsed="false">
      <c r="A17" s="4" t="s">
        <v>89</v>
      </c>
      <c r="B17" s="4" t="s">
        <v>15</v>
      </c>
      <c r="C17" s="5" t="s">
        <v>16</v>
      </c>
      <c r="D17" s="5" t="s">
        <v>85</v>
      </c>
      <c r="E17" s="5" t="s">
        <v>90</v>
      </c>
      <c r="F17" s="5" t="s">
        <v>19</v>
      </c>
      <c r="G17" s="4" t="s">
        <v>35</v>
      </c>
      <c r="H17" s="6" t="n">
        <v>3</v>
      </c>
      <c r="I17" s="6" t="s">
        <v>91</v>
      </c>
      <c r="J17" s="6" t="s">
        <v>92</v>
      </c>
      <c r="K17" s="6" t="s">
        <v>38</v>
      </c>
      <c r="L17" s="5"/>
    </row>
    <row r="18" customFormat="false" ht="21.75" hidden="false" customHeight="true" outlineLevel="0" collapsed="false">
      <c r="A18" s="7" t="s">
        <v>93</v>
      </c>
      <c r="B18" s="7" t="s">
        <v>15</v>
      </c>
      <c r="C18" s="8" t="s">
        <v>16</v>
      </c>
      <c r="D18" s="8" t="s">
        <v>85</v>
      </c>
      <c r="E18" s="8" t="s">
        <v>94</v>
      </c>
      <c r="F18" s="8" t="s">
        <v>19</v>
      </c>
      <c r="G18" s="7" t="s">
        <v>35</v>
      </c>
      <c r="H18" s="9" t="n">
        <v>2</v>
      </c>
      <c r="I18" s="9" t="s">
        <v>95</v>
      </c>
      <c r="J18" s="9" t="s">
        <v>96</v>
      </c>
      <c r="K18" s="9" t="s">
        <v>38</v>
      </c>
      <c r="L18" s="8"/>
    </row>
    <row r="19" customFormat="false" ht="21.75" hidden="false" customHeight="true" outlineLevel="0" collapsed="false">
      <c r="A19" s="4" t="s">
        <v>97</v>
      </c>
      <c r="B19" s="4" t="s">
        <v>15</v>
      </c>
      <c r="C19" s="5" t="s">
        <v>16</v>
      </c>
      <c r="D19" s="5" t="s">
        <v>46</v>
      </c>
      <c r="E19" s="5" t="s">
        <v>98</v>
      </c>
      <c r="F19" s="5" t="s">
        <v>60</v>
      </c>
      <c r="G19" s="4" t="s">
        <v>35</v>
      </c>
      <c r="H19" s="6" t="n">
        <v>8</v>
      </c>
      <c r="I19" s="6" t="s">
        <v>49</v>
      </c>
      <c r="J19" s="6" t="s">
        <v>99</v>
      </c>
      <c r="K19" s="6" t="s">
        <v>38</v>
      </c>
      <c r="L19" s="5"/>
    </row>
    <row r="20" customFormat="false" ht="21.75" hidden="false" customHeight="true" outlineLevel="0" collapsed="false">
      <c r="A20" s="7" t="s">
        <v>100</v>
      </c>
      <c r="B20" s="7" t="s">
        <v>101</v>
      </c>
      <c r="C20" s="8" t="s">
        <v>102</v>
      </c>
      <c r="D20" s="8" t="s">
        <v>17</v>
      </c>
      <c r="E20" s="8" t="s">
        <v>103</v>
      </c>
      <c r="F20" s="8" t="s">
        <v>104</v>
      </c>
      <c r="G20" s="7" t="s">
        <v>20</v>
      </c>
      <c r="H20" s="9" t="n">
        <v>6</v>
      </c>
      <c r="I20" s="9" t="s">
        <v>105</v>
      </c>
      <c r="J20" s="9" t="s">
        <v>106</v>
      </c>
      <c r="K20" s="9" t="s">
        <v>23</v>
      </c>
      <c r="L20" s="8" t="s">
        <v>107</v>
      </c>
    </row>
    <row r="21" customFormat="false" ht="21.75" hidden="false" customHeight="true" outlineLevel="0" collapsed="false">
      <c r="A21" s="4" t="s">
        <v>108</v>
      </c>
      <c r="B21" s="4" t="s">
        <v>101</v>
      </c>
      <c r="C21" s="5" t="s">
        <v>102</v>
      </c>
      <c r="D21" s="5" t="s">
        <v>17</v>
      </c>
      <c r="E21" s="5" t="s">
        <v>109</v>
      </c>
      <c r="F21" s="5" t="s">
        <v>60</v>
      </c>
      <c r="G21" s="4" t="s">
        <v>20</v>
      </c>
      <c r="H21" s="6" t="n">
        <v>8</v>
      </c>
      <c r="I21" s="6" t="s">
        <v>105</v>
      </c>
      <c r="J21" s="6" t="s">
        <v>110</v>
      </c>
      <c r="K21" s="6" t="s">
        <v>23</v>
      </c>
      <c r="L21" s="5" t="s">
        <v>111</v>
      </c>
    </row>
    <row r="22" customFormat="false" ht="21.75" hidden="false" customHeight="true" outlineLevel="0" collapsed="false">
      <c r="A22" s="7" t="s">
        <v>112</v>
      </c>
      <c r="B22" s="7" t="s">
        <v>101</v>
      </c>
      <c r="C22" s="8" t="s">
        <v>102</v>
      </c>
      <c r="D22" s="8" t="s">
        <v>26</v>
      </c>
      <c r="E22" s="8" t="s">
        <v>113</v>
      </c>
      <c r="F22" s="8" t="s">
        <v>60</v>
      </c>
      <c r="G22" s="7" t="s">
        <v>20</v>
      </c>
      <c r="H22" s="9" t="n">
        <v>10</v>
      </c>
      <c r="I22" s="9" t="s">
        <v>42</v>
      </c>
      <c r="J22" s="9" t="s">
        <v>114</v>
      </c>
      <c r="K22" s="9" t="s">
        <v>30</v>
      </c>
      <c r="L22" s="8" t="s">
        <v>115</v>
      </c>
    </row>
    <row r="23" customFormat="false" ht="21.75" hidden="false" customHeight="true" outlineLevel="0" collapsed="false">
      <c r="A23" s="4" t="s">
        <v>116</v>
      </c>
      <c r="B23" s="4" t="s">
        <v>101</v>
      </c>
      <c r="C23" s="5" t="s">
        <v>102</v>
      </c>
      <c r="D23" s="5" t="s">
        <v>26</v>
      </c>
      <c r="E23" s="5" t="s">
        <v>117</v>
      </c>
      <c r="F23" s="5" t="s">
        <v>104</v>
      </c>
      <c r="G23" s="4" t="s">
        <v>20</v>
      </c>
      <c r="H23" s="6" t="n">
        <v>5</v>
      </c>
      <c r="I23" s="6" t="s">
        <v>42</v>
      </c>
      <c r="J23" s="6" t="s">
        <v>118</v>
      </c>
      <c r="K23" s="6" t="s">
        <v>30</v>
      </c>
      <c r="L23" s="5" t="s">
        <v>119</v>
      </c>
    </row>
    <row r="24" customFormat="false" ht="21.75" hidden="false" customHeight="true" outlineLevel="0" collapsed="false">
      <c r="A24" s="7" t="s">
        <v>120</v>
      </c>
      <c r="B24" s="7" t="s">
        <v>101</v>
      </c>
      <c r="C24" s="8" t="s">
        <v>102</v>
      </c>
      <c r="D24" s="8" t="s">
        <v>46</v>
      </c>
      <c r="E24" s="8" t="s">
        <v>121</v>
      </c>
      <c r="F24" s="8" t="s">
        <v>60</v>
      </c>
      <c r="G24" s="7" t="s">
        <v>35</v>
      </c>
      <c r="H24" s="9" t="n">
        <v>12</v>
      </c>
      <c r="I24" s="9" t="s">
        <v>122</v>
      </c>
      <c r="J24" s="9" t="s">
        <v>123</v>
      </c>
      <c r="K24" s="9" t="s">
        <v>38</v>
      </c>
      <c r="L24" s="8" t="s">
        <v>124</v>
      </c>
    </row>
    <row r="25" customFormat="false" ht="21.75" hidden="false" customHeight="true" outlineLevel="0" collapsed="false">
      <c r="A25" s="4" t="s">
        <v>125</v>
      </c>
      <c r="B25" s="4" t="s">
        <v>101</v>
      </c>
      <c r="C25" s="5" t="s">
        <v>102</v>
      </c>
      <c r="D25" s="5" t="s">
        <v>46</v>
      </c>
      <c r="E25" s="5" t="s">
        <v>126</v>
      </c>
      <c r="F25" s="5" t="s">
        <v>60</v>
      </c>
      <c r="G25" s="4" t="s">
        <v>20</v>
      </c>
      <c r="H25" s="6" t="n">
        <v>8</v>
      </c>
      <c r="I25" s="6" t="s">
        <v>122</v>
      </c>
      <c r="J25" s="6" t="s">
        <v>127</v>
      </c>
      <c r="K25" s="6" t="s">
        <v>38</v>
      </c>
      <c r="L25" s="5"/>
    </row>
    <row r="26" customFormat="false" ht="21.75" hidden="false" customHeight="true" outlineLevel="0" collapsed="false">
      <c r="A26" s="7" t="s">
        <v>128</v>
      </c>
      <c r="B26" s="7" t="s">
        <v>101</v>
      </c>
      <c r="C26" s="8" t="s">
        <v>102</v>
      </c>
      <c r="D26" s="8" t="s">
        <v>53</v>
      </c>
      <c r="E26" s="8" t="s">
        <v>129</v>
      </c>
      <c r="F26" s="8" t="s">
        <v>48</v>
      </c>
      <c r="G26" s="7" t="s">
        <v>20</v>
      </c>
      <c r="H26" s="9" t="n">
        <v>20</v>
      </c>
      <c r="I26" s="9" t="s">
        <v>130</v>
      </c>
      <c r="J26" s="9" t="s">
        <v>62</v>
      </c>
      <c r="K26" s="9" t="s">
        <v>38</v>
      </c>
      <c r="L26" s="8" t="s">
        <v>131</v>
      </c>
    </row>
    <row r="27" customFormat="false" ht="21.75" hidden="false" customHeight="true" outlineLevel="0" collapsed="false">
      <c r="A27" s="4" t="s">
        <v>132</v>
      </c>
      <c r="B27" s="4" t="s">
        <v>101</v>
      </c>
      <c r="C27" s="5" t="s">
        <v>102</v>
      </c>
      <c r="D27" s="5" t="s">
        <v>53</v>
      </c>
      <c r="E27" s="5" t="s">
        <v>133</v>
      </c>
      <c r="F27" s="5" t="s">
        <v>48</v>
      </c>
      <c r="G27" s="4" t="s">
        <v>35</v>
      </c>
      <c r="H27" s="6" t="n">
        <v>15</v>
      </c>
      <c r="I27" s="6" t="s">
        <v>130</v>
      </c>
      <c r="J27" s="6" t="s">
        <v>56</v>
      </c>
      <c r="K27" s="6" t="s">
        <v>38</v>
      </c>
      <c r="L27" s="5"/>
    </row>
    <row r="28" customFormat="false" ht="21.75" hidden="false" customHeight="true" outlineLevel="0" collapsed="false">
      <c r="A28" s="7" t="s">
        <v>134</v>
      </c>
      <c r="B28" s="7" t="s">
        <v>101</v>
      </c>
      <c r="C28" s="8" t="s">
        <v>102</v>
      </c>
      <c r="D28" s="8" t="s">
        <v>53</v>
      </c>
      <c r="E28" s="8" t="s">
        <v>135</v>
      </c>
      <c r="F28" s="8" t="s">
        <v>104</v>
      </c>
      <c r="G28" s="7" t="s">
        <v>20</v>
      </c>
      <c r="H28" s="9" t="n">
        <v>10</v>
      </c>
      <c r="I28" s="9" t="s">
        <v>67</v>
      </c>
      <c r="J28" s="9" t="s">
        <v>136</v>
      </c>
      <c r="K28" s="9" t="s">
        <v>38</v>
      </c>
      <c r="L28" s="8"/>
    </row>
    <row r="29" customFormat="false" ht="21.75" hidden="false" customHeight="true" outlineLevel="0" collapsed="false">
      <c r="A29" s="4" t="s">
        <v>137</v>
      </c>
      <c r="B29" s="4" t="s">
        <v>101</v>
      </c>
      <c r="C29" s="5" t="s">
        <v>102</v>
      </c>
      <c r="D29" s="5" t="s">
        <v>64</v>
      </c>
      <c r="E29" s="5" t="s">
        <v>138</v>
      </c>
      <c r="F29" s="5" t="s">
        <v>66</v>
      </c>
      <c r="G29" s="4" t="s">
        <v>20</v>
      </c>
      <c r="H29" s="6" t="n">
        <v>8</v>
      </c>
      <c r="I29" s="6" t="s">
        <v>73</v>
      </c>
      <c r="J29" s="6" t="s">
        <v>139</v>
      </c>
      <c r="K29" s="6" t="s">
        <v>38</v>
      </c>
      <c r="L29" s="5"/>
    </row>
    <row r="30" customFormat="false" ht="21.75" hidden="false" customHeight="true" outlineLevel="0" collapsed="false">
      <c r="A30" s="7" t="s">
        <v>140</v>
      </c>
      <c r="B30" s="7" t="s">
        <v>101</v>
      </c>
      <c r="C30" s="8" t="s">
        <v>102</v>
      </c>
      <c r="D30" s="8" t="s">
        <v>71</v>
      </c>
      <c r="E30" s="8" t="s">
        <v>141</v>
      </c>
      <c r="F30" s="8" t="s">
        <v>104</v>
      </c>
      <c r="G30" s="7" t="s">
        <v>20</v>
      </c>
      <c r="H30" s="9" t="n">
        <v>10</v>
      </c>
      <c r="I30" s="9" t="s">
        <v>142</v>
      </c>
      <c r="J30" s="9" t="s">
        <v>143</v>
      </c>
      <c r="K30" s="9" t="s">
        <v>38</v>
      </c>
      <c r="L30" s="8"/>
    </row>
    <row r="31" customFormat="false" ht="21.75" hidden="false" customHeight="true" outlineLevel="0" collapsed="false">
      <c r="A31" s="4" t="s">
        <v>144</v>
      </c>
      <c r="B31" s="4" t="s">
        <v>101</v>
      </c>
      <c r="C31" s="5" t="s">
        <v>102</v>
      </c>
      <c r="D31" s="5" t="s">
        <v>71</v>
      </c>
      <c r="E31" s="5" t="s">
        <v>145</v>
      </c>
      <c r="F31" s="5" t="s">
        <v>66</v>
      </c>
      <c r="G31" s="4" t="s">
        <v>35</v>
      </c>
      <c r="H31" s="6" t="n">
        <v>8</v>
      </c>
      <c r="I31" s="6" t="s">
        <v>146</v>
      </c>
      <c r="J31" s="6" t="s">
        <v>147</v>
      </c>
      <c r="K31" s="6" t="s">
        <v>38</v>
      </c>
      <c r="L31" s="5"/>
    </row>
    <row r="32" customFormat="false" ht="21.75" hidden="false" customHeight="true" outlineLevel="0" collapsed="false">
      <c r="A32" s="7" t="s">
        <v>148</v>
      </c>
      <c r="B32" s="7" t="s">
        <v>101</v>
      </c>
      <c r="C32" s="8" t="s">
        <v>102</v>
      </c>
      <c r="D32" s="8" t="s">
        <v>71</v>
      </c>
      <c r="E32" s="8" t="s">
        <v>149</v>
      </c>
      <c r="F32" s="8" t="s">
        <v>48</v>
      </c>
      <c r="G32" s="7" t="s">
        <v>20</v>
      </c>
      <c r="H32" s="9" t="n">
        <v>10</v>
      </c>
      <c r="I32" s="9" t="s">
        <v>150</v>
      </c>
      <c r="J32" s="9" t="s">
        <v>151</v>
      </c>
      <c r="K32" s="9" t="s">
        <v>38</v>
      </c>
      <c r="L32" s="8"/>
    </row>
    <row r="33" customFormat="false" ht="21.75" hidden="false" customHeight="true" outlineLevel="0" collapsed="false">
      <c r="A33" s="4" t="s">
        <v>152</v>
      </c>
      <c r="B33" s="4" t="s">
        <v>101</v>
      </c>
      <c r="C33" s="5" t="s">
        <v>102</v>
      </c>
      <c r="D33" s="5" t="s">
        <v>85</v>
      </c>
      <c r="E33" s="5" t="s">
        <v>153</v>
      </c>
      <c r="F33" s="5" t="s">
        <v>48</v>
      </c>
      <c r="G33" s="4" t="s">
        <v>20</v>
      </c>
      <c r="H33" s="6" t="n">
        <v>5</v>
      </c>
      <c r="I33" s="6" t="s">
        <v>154</v>
      </c>
      <c r="J33" s="6" t="s">
        <v>155</v>
      </c>
      <c r="K33" s="6" t="s">
        <v>38</v>
      </c>
      <c r="L33" s="5"/>
    </row>
    <row r="34" customFormat="false" ht="21.75" hidden="false" customHeight="true" outlineLevel="0" collapsed="false">
      <c r="A34" s="7" t="s">
        <v>156</v>
      </c>
      <c r="B34" s="7" t="s">
        <v>101</v>
      </c>
      <c r="C34" s="8" t="s">
        <v>102</v>
      </c>
      <c r="D34" s="8" t="s">
        <v>85</v>
      </c>
      <c r="E34" s="8" t="s">
        <v>157</v>
      </c>
      <c r="F34" s="8" t="s">
        <v>48</v>
      </c>
      <c r="G34" s="7" t="s">
        <v>20</v>
      </c>
      <c r="H34" s="9" t="n">
        <v>5</v>
      </c>
      <c r="I34" s="9" t="s">
        <v>158</v>
      </c>
      <c r="J34" s="9" t="s">
        <v>159</v>
      </c>
      <c r="K34" s="9" t="s">
        <v>38</v>
      </c>
      <c r="L34" s="8"/>
    </row>
    <row r="35" customFormat="false" ht="21.75" hidden="false" customHeight="true" outlineLevel="0" collapsed="false">
      <c r="A35" s="4" t="s">
        <v>160</v>
      </c>
      <c r="B35" s="4" t="s">
        <v>161</v>
      </c>
      <c r="C35" s="5" t="s">
        <v>162</v>
      </c>
      <c r="D35" s="5" t="s">
        <v>17</v>
      </c>
      <c r="E35" s="5" t="s">
        <v>163</v>
      </c>
      <c r="F35" s="5" t="s">
        <v>164</v>
      </c>
      <c r="G35" s="4" t="s">
        <v>20</v>
      </c>
      <c r="H35" s="6" t="n">
        <v>5</v>
      </c>
      <c r="I35" s="6" t="s">
        <v>165</v>
      </c>
      <c r="J35" s="6" t="s">
        <v>166</v>
      </c>
      <c r="K35" s="6" t="s">
        <v>23</v>
      </c>
      <c r="L35" s="5"/>
    </row>
    <row r="36" customFormat="false" ht="21.75" hidden="false" customHeight="true" outlineLevel="0" collapsed="false">
      <c r="A36" s="7" t="s">
        <v>167</v>
      </c>
      <c r="B36" s="7" t="s">
        <v>161</v>
      </c>
      <c r="C36" s="8" t="s">
        <v>162</v>
      </c>
      <c r="D36" s="8" t="s">
        <v>17</v>
      </c>
      <c r="E36" s="8" t="s">
        <v>168</v>
      </c>
      <c r="F36" s="8" t="s">
        <v>169</v>
      </c>
      <c r="G36" s="7" t="s">
        <v>20</v>
      </c>
      <c r="H36" s="9" t="n">
        <v>8</v>
      </c>
      <c r="I36" s="9" t="s">
        <v>170</v>
      </c>
      <c r="J36" s="9" t="s">
        <v>171</v>
      </c>
      <c r="K36" s="9" t="s">
        <v>23</v>
      </c>
      <c r="L36" s="8" t="s">
        <v>172</v>
      </c>
    </row>
    <row r="37" customFormat="false" ht="21.75" hidden="false" customHeight="true" outlineLevel="0" collapsed="false">
      <c r="A37" s="4" t="s">
        <v>173</v>
      </c>
      <c r="B37" s="4" t="s">
        <v>161</v>
      </c>
      <c r="C37" s="5" t="s">
        <v>162</v>
      </c>
      <c r="D37" s="5" t="s">
        <v>26</v>
      </c>
      <c r="E37" s="5" t="s">
        <v>174</v>
      </c>
      <c r="F37" s="5" t="s">
        <v>60</v>
      </c>
      <c r="G37" s="4" t="s">
        <v>20</v>
      </c>
      <c r="H37" s="6" t="n">
        <v>6</v>
      </c>
      <c r="I37" s="6" t="s">
        <v>175</v>
      </c>
      <c r="J37" s="6" t="s">
        <v>176</v>
      </c>
      <c r="K37" s="6" t="s">
        <v>23</v>
      </c>
      <c r="L37" s="5"/>
    </row>
    <row r="38" customFormat="false" ht="21.75" hidden="false" customHeight="true" outlineLevel="0" collapsed="false">
      <c r="A38" s="7" t="s">
        <v>177</v>
      </c>
      <c r="B38" s="7" t="s">
        <v>161</v>
      </c>
      <c r="C38" s="8" t="s">
        <v>162</v>
      </c>
      <c r="D38" s="8" t="s">
        <v>46</v>
      </c>
      <c r="E38" s="8" t="s">
        <v>178</v>
      </c>
      <c r="F38" s="8" t="s">
        <v>164</v>
      </c>
      <c r="G38" s="7" t="s">
        <v>20</v>
      </c>
      <c r="H38" s="9" t="n">
        <v>8</v>
      </c>
      <c r="I38" s="9" t="s">
        <v>179</v>
      </c>
      <c r="J38" s="9" t="s">
        <v>180</v>
      </c>
      <c r="K38" s="9" t="s">
        <v>23</v>
      </c>
      <c r="L38" s="8"/>
    </row>
    <row r="39" customFormat="false" ht="21.75" hidden="false" customHeight="true" outlineLevel="0" collapsed="false">
      <c r="A39" s="4" t="s">
        <v>181</v>
      </c>
      <c r="B39" s="4" t="s">
        <v>161</v>
      </c>
      <c r="C39" s="5" t="s">
        <v>162</v>
      </c>
      <c r="D39" s="5" t="s">
        <v>53</v>
      </c>
      <c r="E39" s="5" t="s">
        <v>182</v>
      </c>
      <c r="F39" s="5" t="s">
        <v>48</v>
      </c>
      <c r="G39" s="4" t="s">
        <v>20</v>
      </c>
      <c r="H39" s="6" t="n">
        <v>20</v>
      </c>
      <c r="I39" s="6" t="s">
        <v>183</v>
      </c>
      <c r="J39" s="6" t="s">
        <v>184</v>
      </c>
      <c r="K39" s="6" t="s">
        <v>23</v>
      </c>
      <c r="L39" s="5"/>
    </row>
    <row r="40" customFormat="false" ht="21.75" hidden="false" customHeight="true" outlineLevel="0" collapsed="false">
      <c r="A40" s="7" t="s">
        <v>185</v>
      </c>
      <c r="B40" s="7" t="s">
        <v>161</v>
      </c>
      <c r="C40" s="8" t="s">
        <v>162</v>
      </c>
      <c r="D40" s="8" t="s">
        <v>53</v>
      </c>
      <c r="E40" s="8" t="s">
        <v>186</v>
      </c>
      <c r="F40" s="8" t="s">
        <v>48</v>
      </c>
      <c r="G40" s="7" t="s">
        <v>20</v>
      </c>
      <c r="H40" s="9" t="n">
        <v>18</v>
      </c>
      <c r="I40" s="9" t="s">
        <v>183</v>
      </c>
      <c r="J40" s="9" t="s">
        <v>187</v>
      </c>
      <c r="K40" s="9" t="s">
        <v>23</v>
      </c>
      <c r="L40" s="8"/>
    </row>
    <row r="41" customFormat="false" ht="21.75" hidden="false" customHeight="true" outlineLevel="0" collapsed="false">
      <c r="A41" s="4" t="s">
        <v>188</v>
      </c>
      <c r="B41" s="4" t="s">
        <v>161</v>
      </c>
      <c r="C41" s="5" t="s">
        <v>162</v>
      </c>
      <c r="D41" s="5" t="s">
        <v>53</v>
      </c>
      <c r="E41" s="5" t="s">
        <v>189</v>
      </c>
      <c r="F41" s="5" t="s">
        <v>60</v>
      </c>
      <c r="G41" s="4" t="s">
        <v>20</v>
      </c>
      <c r="H41" s="6" t="n">
        <v>10</v>
      </c>
      <c r="I41" s="6" t="s">
        <v>190</v>
      </c>
      <c r="J41" s="6" t="s">
        <v>191</v>
      </c>
      <c r="K41" s="6" t="s">
        <v>23</v>
      </c>
      <c r="L41" s="5"/>
    </row>
    <row r="42" customFormat="false" ht="21.75" hidden="false" customHeight="true" outlineLevel="0" collapsed="false">
      <c r="A42" s="7" t="s">
        <v>192</v>
      </c>
      <c r="B42" s="7" t="s">
        <v>161</v>
      </c>
      <c r="C42" s="8" t="s">
        <v>162</v>
      </c>
      <c r="D42" s="8" t="s">
        <v>64</v>
      </c>
      <c r="E42" s="8" t="s">
        <v>193</v>
      </c>
      <c r="F42" s="8" t="s">
        <v>66</v>
      </c>
      <c r="G42" s="7" t="s">
        <v>20</v>
      </c>
      <c r="H42" s="9" t="n">
        <v>6</v>
      </c>
      <c r="I42" s="9" t="s">
        <v>194</v>
      </c>
      <c r="J42" s="9" t="s">
        <v>195</v>
      </c>
      <c r="K42" s="9" t="s">
        <v>23</v>
      </c>
      <c r="L42" s="8"/>
    </row>
    <row r="43" customFormat="false" ht="21.75" hidden="false" customHeight="true" outlineLevel="0" collapsed="false">
      <c r="A43" s="4" t="s">
        <v>196</v>
      </c>
      <c r="B43" s="4" t="s">
        <v>161</v>
      </c>
      <c r="C43" s="5" t="s">
        <v>162</v>
      </c>
      <c r="D43" s="5" t="s">
        <v>71</v>
      </c>
      <c r="E43" s="5" t="s">
        <v>197</v>
      </c>
      <c r="F43" s="5" t="s">
        <v>164</v>
      </c>
      <c r="G43" s="4" t="s">
        <v>20</v>
      </c>
      <c r="H43" s="6" t="n">
        <v>7</v>
      </c>
      <c r="I43" s="6" t="s">
        <v>36</v>
      </c>
      <c r="J43" s="6" t="s">
        <v>43</v>
      </c>
      <c r="K43" s="6" t="s">
        <v>30</v>
      </c>
      <c r="L43" s="5" t="s">
        <v>198</v>
      </c>
    </row>
    <row r="44" customFormat="false" ht="21.75" hidden="false" customHeight="true" outlineLevel="0" collapsed="false">
      <c r="A44" s="7" t="s">
        <v>199</v>
      </c>
      <c r="B44" s="7" t="s">
        <v>161</v>
      </c>
      <c r="C44" s="8" t="s">
        <v>162</v>
      </c>
      <c r="D44" s="8" t="s">
        <v>71</v>
      </c>
      <c r="E44" s="8" t="s">
        <v>200</v>
      </c>
      <c r="F44" s="8" t="s">
        <v>66</v>
      </c>
      <c r="G44" s="7" t="s">
        <v>20</v>
      </c>
      <c r="H44" s="9" t="n">
        <v>5</v>
      </c>
      <c r="I44" s="9" t="s">
        <v>49</v>
      </c>
      <c r="J44" s="9" t="s">
        <v>122</v>
      </c>
      <c r="K44" s="9" t="s">
        <v>38</v>
      </c>
      <c r="L44" s="8"/>
    </row>
    <row r="45" customFormat="false" ht="21.75" hidden="false" customHeight="true" outlineLevel="0" collapsed="false">
      <c r="A45" s="4" t="s">
        <v>201</v>
      </c>
      <c r="B45" s="4" t="s">
        <v>161</v>
      </c>
      <c r="C45" s="5" t="s">
        <v>162</v>
      </c>
      <c r="D45" s="5" t="s">
        <v>71</v>
      </c>
      <c r="E45" s="5" t="s">
        <v>77</v>
      </c>
      <c r="F45" s="5" t="s">
        <v>48</v>
      </c>
      <c r="G45" s="4" t="s">
        <v>20</v>
      </c>
      <c r="H45" s="6" t="n">
        <v>8</v>
      </c>
      <c r="I45" s="6" t="s">
        <v>50</v>
      </c>
      <c r="J45" s="6" t="s">
        <v>202</v>
      </c>
      <c r="K45" s="6" t="s">
        <v>30</v>
      </c>
      <c r="L45" s="5" t="s">
        <v>203</v>
      </c>
    </row>
    <row r="46" customFormat="false" ht="21.75" hidden="false" customHeight="true" outlineLevel="0" collapsed="false">
      <c r="A46" s="7" t="s">
        <v>204</v>
      </c>
      <c r="B46" s="7" t="s">
        <v>161</v>
      </c>
      <c r="C46" s="8" t="s">
        <v>162</v>
      </c>
      <c r="D46" s="8" t="s">
        <v>71</v>
      </c>
      <c r="E46" s="8" t="s">
        <v>205</v>
      </c>
      <c r="F46" s="8" t="s">
        <v>66</v>
      </c>
      <c r="G46" s="7" t="s">
        <v>35</v>
      </c>
      <c r="H46" s="9" t="n">
        <v>4</v>
      </c>
      <c r="I46" s="9" t="s">
        <v>130</v>
      </c>
      <c r="J46" s="9" t="s">
        <v>206</v>
      </c>
      <c r="K46" s="9" t="s">
        <v>38</v>
      </c>
      <c r="L46" s="8"/>
    </row>
    <row r="47" customFormat="false" ht="21.75" hidden="false" customHeight="true" outlineLevel="0" collapsed="false">
      <c r="A47" s="4" t="s">
        <v>207</v>
      </c>
      <c r="B47" s="4" t="s">
        <v>161</v>
      </c>
      <c r="C47" s="5" t="s">
        <v>162</v>
      </c>
      <c r="D47" s="5" t="s">
        <v>71</v>
      </c>
      <c r="E47" s="5" t="s">
        <v>81</v>
      </c>
      <c r="F47" s="5" t="s">
        <v>164</v>
      </c>
      <c r="G47" s="4" t="s">
        <v>20</v>
      </c>
      <c r="H47" s="6" t="n">
        <v>2</v>
      </c>
      <c r="I47" s="6" t="s">
        <v>208</v>
      </c>
      <c r="J47" s="6" t="s">
        <v>209</v>
      </c>
      <c r="K47" s="6" t="s">
        <v>38</v>
      </c>
      <c r="L47" s="5"/>
    </row>
    <row r="48" customFormat="false" ht="21.75" hidden="false" customHeight="true" outlineLevel="0" collapsed="false">
      <c r="A48" s="7" t="s">
        <v>210</v>
      </c>
      <c r="B48" s="7" t="s">
        <v>161</v>
      </c>
      <c r="C48" s="8" t="s">
        <v>162</v>
      </c>
      <c r="D48" s="8" t="s">
        <v>85</v>
      </c>
      <c r="E48" s="8" t="s">
        <v>211</v>
      </c>
      <c r="F48" s="8" t="s">
        <v>164</v>
      </c>
      <c r="G48" s="7" t="s">
        <v>35</v>
      </c>
      <c r="H48" s="9" t="n">
        <v>5</v>
      </c>
      <c r="I48" s="9" t="s">
        <v>67</v>
      </c>
      <c r="J48" s="9" t="s">
        <v>212</v>
      </c>
      <c r="K48" s="9" t="s">
        <v>38</v>
      </c>
      <c r="L48" s="8"/>
    </row>
    <row r="49" customFormat="false" ht="21.75" hidden="false" customHeight="true" outlineLevel="0" collapsed="false">
      <c r="A49" s="4" t="s">
        <v>213</v>
      </c>
      <c r="B49" s="4" t="s">
        <v>161</v>
      </c>
      <c r="C49" s="5" t="s">
        <v>162</v>
      </c>
      <c r="D49" s="5" t="s">
        <v>85</v>
      </c>
      <c r="E49" s="5" t="s">
        <v>214</v>
      </c>
      <c r="F49" s="5" t="s">
        <v>48</v>
      </c>
      <c r="G49" s="4" t="s">
        <v>20</v>
      </c>
      <c r="H49" s="6" t="n">
        <v>3</v>
      </c>
      <c r="I49" s="6" t="s">
        <v>74</v>
      </c>
      <c r="J49" s="6" t="s">
        <v>139</v>
      </c>
      <c r="K49" s="6" t="s">
        <v>38</v>
      </c>
      <c r="L49" s="5"/>
    </row>
    <row r="50" customFormat="false" ht="21.75" hidden="false" customHeight="true" outlineLevel="0" collapsed="false">
      <c r="A50" s="7" t="s">
        <v>215</v>
      </c>
      <c r="B50" s="7" t="s">
        <v>216</v>
      </c>
      <c r="C50" s="8" t="s">
        <v>217</v>
      </c>
      <c r="D50" s="8" t="s">
        <v>17</v>
      </c>
      <c r="E50" s="8" t="s">
        <v>218</v>
      </c>
      <c r="F50" s="8" t="s">
        <v>219</v>
      </c>
      <c r="G50" s="7" t="s">
        <v>20</v>
      </c>
      <c r="H50" s="9" t="n">
        <v>6</v>
      </c>
      <c r="I50" s="9" t="s">
        <v>220</v>
      </c>
      <c r="J50" s="9" t="s">
        <v>221</v>
      </c>
      <c r="K50" s="9" t="s">
        <v>23</v>
      </c>
      <c r="L50" s="8" t="s">
        <v>222</v>
      </c>
    </row>
    <row r="51" customFormat="false" ht="21.75" hidden="false" customHeight="true" outlineLevel="0" collapsed="false">
      <c r="A51" s="4" t="s">
        <v>223</v>
      </c>
      <c r="B51" s="4" t="s">
        <v>216</v>
      </c>
      <c r="C51" s="5" t="s">
        <v>217</v>
      </c>
      <c r="D51" s="5" t="s">
        <v>17</v>
      </c>
      <c r="E51" s="5" t="s">
        <v>224</v>
      </c>
      <c r="F51" s="5" t="s">
        <v>60</v>
      </c>
      <c r="G51" s="4" t="s">
        <v>20</v>
      </c>
      <c r="H51" s="6" t="n">
        <v>4</v>
      </c>
      <c r="I51" s="6" t="s">
        <v>220</v>
      </c>
      <c r="J51" s="6" t="s">
        <v>225</v>
      </c>
      <c r="K51" s="6" t="s">
        <v>23</v>
      </c>
      <c r="L51" s="5"/>
    </row>
    <row r="52" customFormat="false" ht="21.75" hidden="false" customHeight="true" outlineLevel="0" collapsed="false">
      <c r="A52" s="7" t="s">
        <v>226</v>
      </c>
      <c r="B52" s="7" t="s">
        <v>216</v>
      </c>
      <c r="C52" s="8" t="s">
        <v>217</v>
      </c>
      <c r="D52" s="8" t="s">
        <v>26</v>
      </c>
      <c r="E52" s="8" t="s">
        <v>227</v>
      </c>
      <c r="F52" s="8" t="s">
        <v>219</v>
      </c>
      <c r="G52" s="7" t="s">
        <v>35</v>
      </c>
      <c r="H52" s="9" t="n">
        <v>5</v>
      </c>
      <c r="I52" s="9" t="s">
        <v>55</v>
      </c>
      <c r="J52" s="9" t="s">
        <v>228</v>
      </c>
      <c r="K52" s="9" t="s">
        <v>23</v>
      </c>
      <c r="L52" s="8"/>
    </row>
    <row r="53" customFormat="false" ht="21.75" hidden="false" customHeight="true" outlineLevel="0" collapsed="false">
      <c r="A53" s="4" t="s">
        <v>229</v>
      </c>
      <c r="B53" s="4" t="s">
        <v>216</v>
      </c>
      <c r="C53" s="5" t="s">
        <v>217</v>
      </c>
      <c r="D53" s="5" t="s">
        <v>46</v>
      </c>
      <c r="E53" s="5" t="s">
        <v>230</v>
      </c>
      <c r="F53" s="5" t="s">
        <v>219</v>
      </c>
      <c r="G53" s="4" t="s">
        <v>35</v>
      </c>
      <c r="H53" s="6" t="n">
        <v>8</v>
      </c>
      <c r="I53" s="6" t="s">
        <v>130</v>
      </c>
      <c r="J53" s="6" t="s">
        <v>231</v>
      </c>
      <c r="K53" s="6" t="s">
        <v>23</v>
      </c>
      <c r="L53" s="5" t="s">
        <v>172</v>
      </c>
    </row>
    <row r="54" customFormat="false" ht="21.75" hidden="false" customHeight="true" outlineLevel="0" collapsed="false">
      <c r="A54" s="7" t="s">
        <v>232</v>
      </c>
      <c r="B54" s="7" t="s">
        <v>216</v>
      </c>
      <c r="C54" s="8" t="s">
        <v>217</v>
      </c>
      <c r="D54" s="8" t="s">
        <v>46</v>
      </c>
      <c r="E54" s="8" t="s">
        <v>233</v>
      </c>
      <c r="F54" s="8" t="s">
        <v>60</v>
      </c>
      <c r="G54" s="7" t="s">
        <v>20</v>
      </c>
      <c r="H54" s="9" t="n">
        <v>10</v>
      </c>
      <c r="I54" s="9" t="s">
        <v>61</v>
      </c>
      <c r="J54" s="9" t="s">
        <v>62</v>
      </c>
      <c r="K54" s="9" t="s">
        <v>23</v>
      </c>
      <c r="L54" s="8"/>
    </row>
    <row r="55" customFormat="false" ht="21.75" hidden="false" customHeight="true" outlineLevel="0" collapsed="false">
      <c r="A55" s="4" t="s">
        <v>234</v>
      </c>
      <c r="B55" s="4" t="s">
        <v>216</v>
      </c>
      <c r="C55" s="5" t="s">
        <v>217</v>
      </c>
      <c r="D55" s="5" t="s">
        <v>53</v>
      </c>
      <c r="E55" s="5" t="s">
        <v>235</v>
      </c>
      <c r="F55" s="5" t="s">
        <v>236</v>
      </c>
      <c r="G55" s="4" t="s">
        <v>20</v>
      </c>
      <c r="H55" s="6" t="n">
        <v>15</v>
      </c>
      <c r="I55" s="6" t="s">
        <v>67</v>
      </c>
      <c r="J55" s="6" t="s">
        <v>237</v>
      </c>
      <c r="K55" s="6" t="s">
        <v>30</v>
      </c>
      <c r="L55" s="5"/>
    </row>
    <row r="56" customFormat="false" ht="21.75" hidden="false" customHeight="true" outlineLevel="0" collapsed="false">
      <c r="A56" s="7" t="s">
        <v>238</v>
      </c>
      <c r="B56" s="7" t="s">
        <v>216</v>
      </c>
      <c r="C56" s="8" t="s">
        <v>217</v>
      </c>
      <c r="D56" s="8" t="s">
        <v>53</v>
      </c>
      <c r="E56" s="8" t="s">
        <v>239</v>
      </c>
      <c r="F56" s="8" t="s">
        <v>236</v>
      </c>
      <c r="G56" s="7" t="s">
        <v>35</v>
      </c>
      <c r="H56" s="9" t="n">
        <v>12</v>
      </c>
      <c r="I56" s="9" t="s">
        <v>74</v>
      </c>
      <c r="J56" s="9" t="s">
        <v>83</v>
      </c>
      <c r="K56" s="9" t="s">
        <v>38</v>
      </c>
      <c r="L56" s="8"/>
    </row>
    <row r="57" customFormat="false" ht="21.75" hidden="false" customHeight="true" outlineLevel="0" collapsed="false">
      <c r="A57" s="4" t="s">
        <v>240</v>
      </c>
      <c r="B57" s="4" t="s">
        <v>216</v>
      </c>
      <c r="C57" s="5" t="s">
        <v>217</v>
      </c>
      <c r="D57" s="5" t="s">
        <v>53</v>
      </c>
      <c r="E57" s="5" t="s">
        <v>241</v>
      </c>
      <c r="F57" s="5" t="s">
        <v>60</v>
      </c>
      <c r="G57" s="4" t="s">
        <v>35</v>
      </c>
      <c r="H57" s="6" t="n">
        <v>10</v>
      </c>
      <c r="I57" s="6" t="s">
        <v>143</v>
      </c>
      <c r="J57" s="6" t="s">
        <v>242</v>
      </c>
      <c r="K57" s="6" t="s">
        <v>38</v>
      </c>
      <c r="L57" s="5"/>
    </row>
    <row r="58" customFormat="false" ht="21.75" hidden="false" customHeight="true" outlineLevel="0" collapsed="false">
      <c r="A58" s="7" t="s">
        <v>243</v>
      </c>
      <c r="B58" s="7" t="s">
        <v>216</v>
      </c>
      <c r="C58" s="8" t="s">
        <v>217</v>
      </c>
      <c r="D58" s="8" t="s">
        <v>53</v>
      </c>
      <c r="E58" s="8" t="s">
        <v>244</v>
      </c>
      <c r="F58" s="8" t="s">
        <v>60</v>
      </c>
      <c r="G58" s="7" t="s">
        <v>20</v>
      </c>
      <c r="H58" s="9" t="n">
        <v>5</v>
      </c>
      <c r="I58" s="9" t="s">
        <v>150</v>
      </c>
      <c r="J58" s="9" t="s">
        <v>245</v>
      </c>
      <c r="K58" s="9" t="s">
        <v>38</v>
      </c>
      <c r="L58" s="8"/>
    </row>
    <row r="59" customFormat="false" ht="21.75" hidden="false" customHeight="true" outlineLevel="0" collapsed="false">
      <c r="A59" s="4" t="s">
        <v>246</v>
      </c>
      <c r="B59" s="4" t="s">
        <v>216</v>
      </c>
      <c r="C59" s="5" t="s">
        <v>217</v>
      </c>
      <c r="D59" s="5" t="s">
        <v>64</v>
      </c>
      <c r="E59" s="5" t="s">
        <v>247</v>
      </c>
      <c r="F59" s="5" t="s">
        <v>66</v>
      </c>
      <c r="G59" s="4" t="s">
        <v>20</v>
      </c>
      <c r="H59" s="6" t="n">
        <v>8</v>
      </c>
      <c r="I59" s="6" t="s">
        <v>248</v>
      </c>
      <c r="J59" s="6" t="s">
        <v>249</v>
      </c>
      <c r="K59" s="6" t="s">
        <v>38</v>
      </c>
      <c r="L59" s="5"/>
    </row>
    <row r="60" customFormat="false" ht="21.75" hidden="false" customHeight="true" outlineLevel="0" collapsed="false">
      <c r="A60" s="7" t="s">
        <v>250</v>
      </c>
      <c r="B60" s="7" t="s">
        <v>216</v>
      </c>
      <c r="C60" s="8" t="s">
        <v>217</v>
      </c>
      <c r="D60" s="8" t="s">
        <v>71</v>
      </c>
      <c r="E60" s="8" t="s">
        <v>251</v>
      </c>
      <c r="F60" s="8" t="s">
        <v>219</v>
      </c>
      <c r="G60" s="7" t="s">
        <v>20</v>
      </c>
      <c r="H60" s="9" t="n">
        <v>10</v>
      </c>
      <c r="I60" s="9" t="s">
        <v>87</v>
      </c>
      <c r="J60" s="9" t="s">
        <v>252</v>
      </c>
      <c r="K60" s="9" t="s">
        <v>38</v>
      </c>
      <c r="L60" s="8"/>
    </row>
    <row r="61" customFormat="false" ht="21.75" hidden="false" customHeight="true" outlineLevel="0" collapsed="false">
      <c r="A61" s="4" t="s">
        <v>253</v>
      </c>
      <c r="B61" s="4" t="s">
        <v>216</v>
      </c>
      <c r="C61" s="5" t="s">
        <v>217</v>
      </c>
      <c r="D61" s="5" t="s">
        <v>71</v>
      </c>
      <c r="E61" s="5" t="s">
        <v>254</v>
      </c>
      <c r="F61" s="5" t="s">
        <v>66</v>
      </c>
      <c r="G61" s="4" t="s">
        <v>35</v>
      </c>
      <c r="H61" s="6" t="n">
        <v>5</v>
      </c>
      <c r="I61" s="6" t="s">
        <v>255</v>
      </c>
      <c r="J61" s="6" t="s">
        <v>256</v>
      </c>
      <c r="K61" s="6" t="s">
        <v>38</v>
      </c>
      <c r="L61" s="5"/>
    </row>
    <row r="62" customFormat="false" ht="21.75" hidden="false" customHeight="true" outlineLevel="0" collapsed="false">
      <c r="A62" s="7" t="s">
        <v>257</v>
      </c>
      <c r="B62" s="7" t="s">
        <v>216</v>
      </c>
      <c r="C62" s="8" t="s">
        <v>217</v>
      </c>
      <c r="D62" s="8" t="s">
        <v>71</v>
      </c>
      <c r="E62" s="8" t="s">
        <v>258</v>
      </c>
      <c r="F62" s="8" t="s">
        <v>236</v>
      </c>
      <c r="G62" s="7" t="s">
        <v>20</v>
      </c>
      <c r="H62" s="9" t="n">
        <v>8</v>
      </c>
      <c r="I62" s="9" t="s">
        <v>95</v>
      </c>
      <c r="J62" s="9" t="s">
        <v>259</v>
      </c>
      <c r="K62" s="9" t="s">
        <v>38</v>
      </c>
      <c r="L62" s="8"/>
    </row>
    <row r="63" customFormat="false" ht="21.75" hidden="false" customHeight="true" outlineLevel="0" collapsed="false">
      <c r="A63" s="4" t="s">
        <v>260</v>
      </c>
      <c r="B63" s="4" t="s">
        <v>216</v>
      </c>
      <c r="C63" s="5" t="s">
        <v>217</v>
      </c>
      <c r="D63" s="5" t="s">
        <v>71</v>
      </c>
      <c r="E63" s="5" t="s">
        <v>81</v>
      </c>
      <c r="F63" s="5" t="s">
        <v>219</v>
      </c>
      <c r="G63" s="4" t="s">
        <v>20</v>
      </c>
      <c r="H63" s="6" t="n">
        <v>2</v>
      </c>
      <c r="I63" s="6" t="s">
        <v>261</v>
      </c>
      <c r="J63" s="6" t="s">
        <v>262</v>
      </c>
      <c r="K63" s="6" t="s">
        <v>38</v>
      </c>
      <c r="L63" s="5"/>
    </row>
    <row r="64" customFormat="false" ht="21.75" hidden="false" customHeight="true" outlineLevel="0" collapsed="false">
      <c r="A64" s="7" t="s">
        <v>263</v>
      </c>
      <c r="B64" s="7" t="s">
        <v>216</v>
      </c>
      <c r="C64" s="8" t="s">
        <v>217</v>
      </c>
      <c r="D64" s="8" t="s">
        <v>85</v>
      </c>
      <c r="E64" s="8" t="s">
        <v>264</v>
      </c>
      <c r="F64" s="8" t="s">
        <v>236</v>
      </c>
      <c r="G64" s="7" t="s">
        <v>20</v>
      </c>
      <c r="H64" s="9" t="n">
        <v>5</v>
      </c>
      <c r="I64" s="9" t="s">
        <v>265</v>
      </c>
      <c r="J64" s="9" t="s">
        <v>266</v>
      </c>
      <c r="K64" s="9" t="s">
        <v>38</v>
      </c>
      <c r="L64" s="8"/>
    </row>
  </sheetData>
  <autoFilter ref="A4:L64"/>
  <mergeCells count="2">
    <mergeCell ref="A1:L1"/>
    <mergeCell ref="A2:L2"/>
  </mergeCells>
  <dataValidations count="4">
    <dataValidation allowBlank="true" errorStyle="stop" operator="between" showDropDown="false" showErrorMessage="false" showInputMessage="false" sqref="D5:D64" type="list">
      <formula1>"Expression des Besoins,Conception Générale,Conception Détaillée,Réalisation,Intégration,Recette,Déploiement"</formula1>
      <formula2>0</formula2>
    </dataValidation>
    <dataValidation allowBlank="true" errorStyle="stop" operator="between" showDropDown="false" showErrorMessage="false" showInputMessage="false" sqref="K5:K64" type="list">
      <formula1>"A faire,En cours,Terminé,Bloqué,Annulé"</formula1>
      <formula2>0</formula2>
    </dataValidation>
    <dataValidation allowBlank="true" errorStyle="stop" operator="between" showDropDown="false" showErrorMessage="false" showInputMessage="false" sqref="G5:G64" type="list">
      <formula1>"P1,P2,P3,P4"</formula1>
      <formula2>0</formula2>
    </dataValidation>
    <dataValidation allowBlank="true" errorStyle="stop" operator="between" showDropDown="false" showErrorMessage="false" showInputMessage="false" sqref="B5:B64" type="list">
      <formula1>"PROJ-001,PROJ-002,PROJ-003,PROJ-004"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38"/>
    <col collapsed="false" customWidth="true" hidden="false" outlineLevel="0" max="8" min="3" style="0" width="14"/>
  </cols>
  <sheetData>
    <row r="1" customFormat="false" ht="21.75" hidden="false" customHeight="true" outlineLevel="0" collapsed="false">
      <c r="A1" s="1" t="s">
        <v>267</v>
      </c>
      <c r="B1" s="1"/>
      <c r="C1" s="1"/>
      <c r="D1" s="1"/>
      <c r="E1" s="1"/>
      <c r="F1" s="1"/>
      <c r="G1" s="1"/>
      <c r="H1" s="1"/>
    </row>
    <row r="3" customFormat="false" ht="19.5" hidden="false" customHeight="true" outlineLevel="0" collapsed="false">
      <c r="A3" s="10" t="s">
        <v>268</v>
      </c>
    </row>
    <row r="4" customFormat="false" ht="27.75" hidden="false" customHeight="true" outlineLevel="0" collapsed="false">
      <c r="A4" s="3" t="s">
        <v>269</v>
      </c>
      <c r="B4" s="3" t="s">
        <v>270</v>
      </c>
      <c r="C4" s="3" t="s">
        <v>271</v>
      </c>
      <c r="D4" s="3"/>
    </row>
    <row r="5" customFormat="false" ht="19.5" hidden="false" customHeight="true" outlineLevel="0" collapsed="false">
      <c r="A5" s="11" t="s">
        <v>272</v>
      </c>
      <c r="B5" s="12" t="n">
        <f aca="false">COUNTA('Backlog Consolidé'!A5:A64)</f>
        <v>60</v>
      </c>
      <c r="C5" s="12"/>
      <c r="D5" s="13"/>
    </row>
    <row r="6" customFormat="false" ht="19.5" hidden="false" customHeight="true" outlineLevel="0" collapsed="false">
      <c r="A6" s="14" t="s">
        <v>273</v>
      </c>
      <c r="B6" s="15" t="n">
        <f aca="false">COUNTIF('Backlog Consolidé'!K5:K64,"Terminé")</f>
        <v>16</v>
      </c>
      <c r="C6" s="16" t="n">
        <f aca="false">IF(B5=0,0,C5/B5)</f>
        <v>0</v>
      </c>
      <c r="D6" s="13"/>
    </row>
    <row r="7" customFormat="false" ht="19.5" hidden="false" customHeight="true" outlineLevel="0" collapsed="false">
      <c r="A7" s="11" t="s">
        <v>274</v>
      </c>
      <c r="B7" s="12" t="n">
        <f aca="false">COUNTIF('Backlog Consolidé'!K5:K64,"En cours")</f>
        <v>6</v>
      </c>
      <c r="C7" s="17" t="n">
        <f aca="false">IF(B5=0,0,C6/B5)</f>
        <v>0</v>
      </c>
      <c r="D7" s="13"/>
    </row>
    <row r="8" customFormat="false" ht="19.5" hidden="false" customHeight="true" outlineLevel="0" collapsed="false">
      <c r="A8" s="14" t="s">
        <v>275</v>
      </c>
      <c r="B8" s="15" t="n">
        <f aca="false">COUNTIF('Backlog Consolidé'!K5:K64,"A faire")</f>
        <v>38</v>
      </c>
      <c r="C8" s="16" t="n">
        <f aca="false">IF(B5=0,0,C7/B5)</f>
        <v>0</v>
      </c>
      <c r="D8" s="13"/>
    </row>
    <row r="9" customFormat="false" ht="19.5" hidden="false" customHeight="true" outlineLevel="0" collapsed="false">
      <c r="A9" s="11" t="s">
        <v>276</v>
      </c>
      <c r="B9" s="12" t="n">
        <f aca="false">COUNTIF('Backlog Consolidé'!K5:K64,"Bloqué")</f>
        <v>0</v>
      </c>
      <c r="C9" s="17" t="n">
        <f aca="false">IF(B5=0,0,C8/B5)</f>
        <v>0</v>
      </c>
      <c r="D9" s="13"/>
    </row>
    <row r="10" customFormat="false" ht="19.5" hidden="false" customHeight="true" outlineLevel="0" collapsed="false">
      <c r="A10" s="14" t="s">
        <v>277</v>
      </c>
      <c r="B10" s="15" t="n">
        <f aca="false">COUNTIF('Backlog Consolidé'!K5:K64,"Annulé")</f>
        <v>0</v>
      </c>
      <c r="C10" s="16" t="n">
        <f aca="false">IF(B5=0,0,C9/B5)</f>
        <v>0</v>
      </c>
      <c r="D10" s="13"/>
    </row>
    <row r="11" customFormat="false" ht="19.5" hidden="false" customHeight="true" outlineLevel="0" collapsed="false">
      <c r="A11" s="11" t="s">
        <v>278</v>
      </c>
      <c r="B11" s="12" t="n">
        <f aca="false">SUM('Backlog Consolidé'!H5:H64)</f>
        <v>478</v>
      </c>
      <c r="C11" s="12"/>
      <c r="D11" s="13"/>
    </row>
    <row r="12" customFormat="false" ht="19.5" hidden="false" customHeight="true" outlineLevel="0" collapsed="false">
      <c r="A12" s="14" t="s">
        <v>279</v>
      </c>
      <c r="B12" s="15" t="n">
        <f aca="false">SUMIF('Backlog Consolidé'!K5:K64,"Terminé",'Backlog Consolidé'!H5:H64)</f>
        <v>136</v>
      </c>
      <c r="C12" s="15"/>
      <c r="D12" s="13"/>
    </row>
    <row r="13" customFormat="false" ht="19.5" hidden="false" customHeight="true" outlineLevel="0" collapsed="false">
      <c r="A13" s="11" t="s">
        <v>280</v>
      </c>
      <c r="B13" s="12" t="n">
        <f aca="false">C11-C12</f>
        <v>0</v>
      </c>
      <c r="C13" s="12"/>
      <c r="D13" s="13"/>
    </row>
    <row r="14" customFormat="false" ht="19.5" hidden="false" customHeight="true" outlineLevel="0" collapsed="false">
      <c r="A14" s="14" t="s">
        <v>281</v>
      </c>
      <c r="B14" s="16" t="n">
        <f aca="false">IF(C11=0,0,C12/C11)</f>
        <v>0</v>
      </c>
      <c r="C14" s="15"/>
      <c r="D14" s="13"/>
    </row>
    <row r="16" customFormat="false" ht="19.5" hidden="false" customHeight="true" outlineLevel="0" collapsed="false">
      <c r="A16" s="10" t="s">
        <v>282</v>
      </c>
    </row>
    <row r="17" customFormat="false" ht="27.75" hidden="false" customHeight="true" outlineLevel="0" collapsed="false">
      <c r="A17" s="3" t="s">
        <v>283</v>
      </c>
      <c r="B17" s="3" t="s">
        <v>284</v>
      </c>
      <c r="C17" s="3" t="s">
        <v>285</v>
      </c>
      <c r="D17" s="3" t="s">
        <v>23</v>
      </c>
      <c r="E17" s="3" t="s">
        <v>30</v>
      </c>
      <c r="F17" s="3" t="s">
        <v>38</v>
      </c>
      <c r="G17" s="3" t="s">
        <v>286</v>
      </c>
      <c r="H17" s="3" t="s">
        <v>287</v>
      </c>
    </row>
    <row r="18" customFormat="false" ht="19.5" hidden="false" customHeight="true" outlineLevel="0" collapsed="false">
      <c r="A18" s="7" t="s">
        <v>15</v>
      </c>
      <c r="B18" s="8" t="s">
        <v>16</v>
      </c>
      <c r="C18" s="15" t="n">
        <f aca="false">COUNTIF('Backlog Consolidé'!B5:B64,"PROJ-001")</f>
        <v>15</v>
      </c>
      <c r="D18" s="15" t="n">
        <f aca="false">COUNTIFS('Backlog Consolidé'!B5:B64,"PROJ-001",'Backlog Consolidé'!K5:K64,"Terminé")</f>
        <v>1</v>
      </c>
      <c r="E18" s="15" t="n">
        <f aca="false">COUNTIFS('Backlog Consolidé'!B5:B64,"PROJ-001",'Backlog Consolidé'!K5:K64,"En cours")</f>
        <v>1</v>
      </c>
      <c r="F18" s="15" t="n">
        <f aca="false">COUNTIFS('Backlog Consolidé'!B5:B64,"PROJ-001",'Backlog Consolidé'!K5:K64,"A faire")</f>
        <v>13</v>
      </c>
      <c r="G18" s="15" t="n">
        <f aca="false">COUNTIFS('Backlog Consolidé'!B5:B64,"PROJ-001",'Backlog Consolidé'!K5:K64,"Bloqué")</f>
        <v>0</v>
      </c>
      <c r="H18" s="16" t="n">
        <f aca="false">IF(C18=0,0,D18/C18)</f>
        <v>0.0666666666666667</v>
      </c>
    </row>
    <row r="19" customFormat="false" ht="19.5" hidden="false" customHeight="true" outlineLevel="0" collapsed="false">
      <c r="A19" s="4" t="s">
        <v>101</v>
      </c>
      <c r="B19" s="5" t="s">
        <v>102</v>
      </c>
      <c r="C19" s="12" t="n">
        <f aca="false">COUNTIF('Backlog Consolidé'!B5:B64,"PROJ-002")</f>
        <v>15</v>
      </c>
      <c r="D19" s="12" t="n">
        <f aca="false">COUNTIFS('Backlog Consolidé'!B5:B64,"PROJ-002",'Backlog Consolidé'!K5:K64,"Terminé")</f>
        <v>2</v>
      </c>
      <c r="E19" s="12" t="n">
        <f aca="false">COUNTIFS('Backlog Consolidé'!B5:B64,"PROJ-002",'Backlog Consolidé'!K5:K64,"En cours")</f>
        <v>2</v>
      </c>
      <c r="F19" s="12" t="n">
        <f aca="false">COUNTIFS('Backlog Consolidé'!B5:B64,"PROJ-002",'Backlog Consolidé'!K5:K64,"A faire")</f>
        <v>11</v>
      </c>
      <c r="G19" s="12" t="n">
        <f aca="false">COUNTIFS('Backlog Consolidé'!B5:B64,"PROJ-002",'Backlog Consolidé'!K5:K64,"Bloqué")</f>
        <v>0</v>
      </c>
      <c r="H19" s="17" t="n">
        <f aca="false">IF(C19=0,0,D19/C19)</f>
        <v>0.133333333333333</v>
      </c>
    </row>
    <row r="20" customFormat="false" ht="19.5" hidden="false" customHeight="true" outlineLevel="0" collapsed="false">
      <c r="A20" s="7" t="s">
        <v>161</v>
      </c>
      <c r="B20" s="8" t="s">
        <v>162</v>
      </c>
      <c r="C20" s="15" t="n">
        <f aca="false">COUNTIF('Backlog Consolidé'!B5:B64,"PROJ-003")</f>
        <v>15</v>
      </c>
      <c r="D20" s="15" t="n">
        <f aca="false">COUNTIFS('Backlog Consolidé'!B5:B64,"PROJ-003",'Backlog Consolidé'!K5:K64,"Terminé")</f>
        <v>8</v>
      </c>
      <c r="E20" s="15" t="n">
        <f aca="false">COUNTIFS('Backlog Consolidé'!B5:B64,"PROJ-003",'Backlog Consolidé'!K5:K64,"En cours")</f>
        <v>2</v>
      </c>
      <c r="F20" s="15" t="n">
        <f aca="false">COUNTIFS('Backlog Consolidé'!B5:B64,"PROJ-003",'Backlog Consolidé'!K5:K64,"A faire")</f>
        <v>5</v>
      </c>
      <c r="G20" s="15" t="n">
        <f aca="false">COUNTIFS('Backlog Consolidé'!B5:B64,"PROJ-003",'Backlog Consolidé'!K5:K64,"Bloqué")</f>
        <v>0</v>
      </c>
      <c r="H20" s="16" t="n">
        <f aca="false">IF(C20=0,0,D20/C20)</f>
        <v>0.533333333333333</v>
      </c>
    </row>
    <row r="21" customFormat="false" ht="19.5" hidden="false" customHeight="true" outlineLevel="0" collapsed="false">
      <c r="A21" s="4" t="s">
        <v>216</v>
      </c>
      <c r="B21" s="5" t="s">
        <v>217</v>
      </c>
      <c r="C21" s="12" t="n">
        <f aca="false">COUNTIF('Backlog Consolidé'!B5:B64,"PROJ-004")</f>
        <v>15</v>
      </c>
      <c r="D21" s="12" t="n">
        <f aca="false">COUNTIFS('Backlog Consolidé'!B5:B64,"PROJ-004",'Backlog Consolidé'!K5:K64,"Terminé")</f>
        <v>5</v>
      </c>
      <c r="E21" s="12" t="n">
        <f aca="false">COUNTIFS('Backlog Consolidé'!B5:B64,"PROJ-004",'Backlog Consolidé'!K5:K64,"En cours")</f>
        <v>1</v>
      </c>
      <c r="F21" s="12" t="n">
        <f aca="false">COUNTIFS('Backlog Consolidé'!B5:B64,"PROJ-004",'Backlog Consolidé'!K5:K64,"A faire")</f>
        <v>9</v>
      </c>
      <c r="G21" s="12" t="n">
        <f aca="false">COUNTIFS('Backlog Consolidé'!B5:B64,"PROJ-004",'Backlog Consolidé'!K5:K64,"Bloqué")</f>
        <v>0</v>
      </c>
      <c r="H21" s="17" t="n">
        <f aca="false">IF(C21=0,0,D21/C21)</f>
        <v>0.333333333333333</v>
      </c>
    </row>
    <row r="22" customFormat="false" ht="21.75" hidden="false" customHeight="true" outlineLevel="0" collapsed="false">
      <c r="A22" s="4" t="s">
        <v>288</v>
      </c>
      <c r="B22" s="11"/>
      <c r="C22" s="18" t="n">
        <f aca="false">SUM(C18:C21)</f>
        <v>60</v>
      </c>
      <c r="D22" s="18" t="n">
        <f aca="false">SUM(D18:D21)</f>
        <v>16</v>
      </c>
      <c r="E22" s="18" t="n">
        <f aca="false">SUM(E18:E21)</f>
        <v>6</v>
      </c>
      <c r="F22" s="18" t="n">
        <f aca="false">SUM(F18:F21)</f>
        <v>38</v>
      </c>
      <c r="G22" s="18" t="n">
        <f aca="false">SUM(G18:G21)</f>
        <v>0</v>
      </c>
      <c r="H22" s="19" t="n">
        <f aca="false">IF(C22=0,0,D22/C22)</f>
        <v>0.266666666666667</v>
      </c>
    </row>
    <row r="24" customFormat="false" ht="19.5" hidden="false" customHeight="true" outlineLevel="0" collapsed="false">
      <c r="A24" s="10" t="s">
        <v>289</v>
      </c>
    </row>
    <row r="25" customFormat="false" ht="27.75" hidden="false" customHeight="true" outlineLevel="0" collapsed="false">
      <c r="A25" s="3" t="s">
        <v>5</v>
      </c>
      <c r="B25" s="3" t="s">
        <v>285</v>
      </c>
      <c r="C25" s="3" t="s">
        <v>23</v>
      </c>
      <c r="D25" s="3" t="s">
        <v>30</v>
      </c>
      <c r="E25" s="3" t="s">
        <v>38</v>
      </c>
      <c r="F25" s="3" t="s">
        <v>287</v>
      </c>
    </row>
    <row r="26" customFormat="false" ht="19.5" hidden="false" customHeight="true" outlineLevel="0" collapsed="false">
      <c r="A26" s="14" t="s">
        <v>17</v>
      </c>
      <c r="B26" s="15" t="n">
        <f aca="false">COUNTIF('Backlog Consolidé'!D5:D64,"Expression des Besoins")</f>
        <v>7</v>
      </c>
      <c r="C26" s="15" t="n">
        <f aca="false">COUNTIFS('Backlog Consolidé'!D5:D64,"Expression des Besoins",'Backlog Consolidé'!K5:K64,"Terminé")</f>
        <v>7</v>
      </c>
      <c r="D26" s="15" t="n">
        <f aca="false">COUNTIFS('Backlog Consolidé'!D5:D64,"Expression des Besoins",'Backlog Consolidé'!K5:K64,"En cours")</f>
        <v>0</v>
      </c>
      <c r="E26" s="15" t="n">
        <f aca="false">COUNTIFS('Backlog Consolidé'!D5:D64,"Expression des Besoins",'Backlog Consolidé'!K5:K64,"A faire")</f>
        <v>0</v>
      </c>
      <c r="F26" s="16" t="n">
        <f aca="false">IF(B26=0,0,C26/B26)</f>
        <v>1</v>
      </c>
    </row>
    <row r="27" customFormat="false" ht="19.5" hidden="false" customHeight="true" outlineLevel="0" collapsed="false">
      <c r="A27" s="11" t="s">
        <v>26</v>
      </c>
      <c r="B27" s="12" t="n">
        <f aca="false">COUNTIF('Backlog Consolidé'!D5:D64,"Conception Générale")</f>
        <v>7</v>
      </c>
      <c r="C27" s="12" t="n">
        <f aca="false">COUNTIFS('Backlog Consolidé'!D5:D64,"Conception Générale",'Backlog Consolidé'!K5:K64,"Terminé")</f>
        <v>2</v>
      </c>
      <c r="D27" s="12" t="n">
        <f aca="false">COUNTIFS('Backlog Consolidé'!D5:D64,"Conception Générale",'Backlog Consolidé'!K5:K64,"En cours")</f>
        <v>3</v>
      </c>
      <c r="E27" s="12" t="n">
        <f aca="false">COUNTIFS('Backlog Consolidé'!D5:D64,"Conception Générale",'Backlog Consolidé'!K5:K64,"A faire")</f>
        <v>2</v>
      </c>
      <c r="F27" s="17" t="n">
        <f aca="false">IF(B27=0,0,C27/B27)</f>
        <v>0.285714285714286</v>
      </c>
    </row>
    <row r="28" customFormat="false" ht="19.5" hidden="false" customHeight="true" outlineLevel="0" collapsed="false">
      <c r="A28" s="14" t="s">
        <v>46</v>
      </c>
      <c r="B28" s="15" t="n">
        <f aca="false">COUNTIF('Backlog Consolidé'!D5:D64,"Conception Détaillée")</f>
        <v>7</v>
      </c>
      <c r="C28" s="15" t="n">
        <f aca="false">COUNTIFS('Backlog Consolidé'!D5:D64,"Conception Détaillée",'Backlog Consolidé'!K5:K64,"Terminé")</f>
        <v>3</v>
      </c>
      <c r="D28" s="15" t="n">
        <f aca="false">COUNTIFS('Backlog Consolidé'!D5:D64,"Conception Détaillée",'Backlog Consolidé'!K5:K64,"En cours")</f>
        <v>0</v>
      </c>
      <c r="E28" s="15" t="n">
        <f aca="false">COUNTIFS('Backlog Consolidé'!D5:D64,"Conception Détaillée",'Backlog Consolidé'!K5:K64,"A faire")</f>
        <v>4</v>
      </c>
      <c r="F28" s="16" t="n">
        <f aca="false">IF(B28=0,0,C28/B28)</f>
        <v>0.428571428571429</v>
      </c>
    </row>
    <row r="29" customFormat="false" ht="19.5" hidden="false" customHeight="true" outlineLevel="0" collapsed="false">
      <c r="A29" s="11" t="s">
        <v>53</v>
      </c>
      <c r="B29" s="12" t="n">
        <f aca="false">COUNTIF('Backlog Consolidé'!D5:D64,"Réalisation")</f>
        <v>12</v>
      </c>
      <c r="C29" s="12" t="n">
        <f aca="false">COUNTIFS('Backlog Consolidé'!D5:D64,"Réalisation",'Backlog Consolidé'!K5:K64,"Terminé")</f>
        <v>3</v>
      </c>
      <c r="D29" s="12" t="n">
        <f aca="false">COUNTIFS('Backlog Consolidé'!D5:D64,"Réalisation",'Backlog Consolidé'!K5:K64,"En cours")</f>
        <v>1</v>
      </c>
      <c r="E29" s="12" t="n">
        <f aca="false">COUNTIFS('Backlog Consolidé'!D5:D64,"Réalisation",'Backlog Consolidé'!K5:K64,"A faire")</f>
        <v>8</v>
      </c>
      <c r="F29" s="17" t="n">
        <f aca="false">IF(B29=0,0,C29/B29)</f>
        <v>0.25</v>
      </c>
    </row>
    <row r="30" customFormat="false" ht="19.5" hidden="false" customHeight="true" outlineLevel="0" collapsed="false">
      <c r="A30" s="14" t="s">
        <v>64</v>
      </c>
      <c r="B30" s="15" t="n">
        <f aca="false">COUNTIF('Backlog Consolidé'!D5:D64,"Intégration")</f>
        <v>4</v>
      </c>
      <c r="C30" s="15" t="n">
        <f aca="false">COUNTIFS('Backlog Consolidé'!D5:D64,"Intégration",'Backlog Consolidé'!K5:K64,"Terminé")</f>
        <v>1</v>
      </c>
      <c r="D30" s="15" t="n">
        <f aca="false">COUNTIFS('Backlog Consolidé'!D5:D64,"Intégration",'Backlog Consolidé'!K5:K64,"En cours")</f>
        <v>0</v>
      </c>
      <c r="E30" s="15" t="n">
        <f aca="false">COUNTIFS('Backlog Consolidé'!D5:D64,"Intégration",'Backlog Consolidé'!K5:K64,"A faire")</f>
        <v>3</v>
      </c>
      <c r="F30" s="16" t="n">
        <f aca="false">IF(B30=0,0,C30/B30)</f>
        <v>0.25</v>
      </c>
    </row>
    <row r="31" customFormat="false" ht="19.5" hidden="false" customHeight="true" outlineLevel="0" collapsed="false">
      <c r="A31" s="11" t="s">
        <v>71</v>
      </c>
      <c r="B31" s="12" t="n">
        <f aca="false">COUNTIF('Backlog Consolidé'!D5:D64,"Recette")</f>
        <v>15</v>
      </c>
      <c r="C31" s="12" t="n">
        <f aca="false">COUNTIFS('Backlog Consolidé'!D5:D64,"Recette",'Backlog Consolidé'!K5:K64,"Terminé")</f>
        <v>0</v>
      </c>
      <c r="D31" s="12" t="n">
        <f aca="false">COUNTIFS('Backlog Consolidé'!D5:D64,"Recette",'Backlog Consolidé'!K5:K64,"En cours")</f>
        <v>2</v>
      </c>
      <c r="E31" s="12" t="n">
        <f aca="false">COUNTIFS('Backlog Consolidé'!D5:D64,"Recette",'Backlog Consolidé'!K5:K64,"A faire")</f>
        <v>13</v>
      </c>
      <c r="F31" s="17" t="n">
        <f aca="false">IF(B31=0,0,C31/B31)</f>
        <v>0</v>
      </c>
    </row>
    <row r="32" customFormat="false" ht="19.5" hidden="false" customHeight="true" outlineLevel="0" collapsed="false">
      <c r="A32" s="14" t="s">
        <v>85</v>
      </c>
      <c r="B32" s="15" t="n">
        <f aca="false">COUNTIF('Backlog Consolidé'!D5:D64,"Déploiement")</f>
        <v>8</v>
      </c>
      <c r="C32" s="15" t="n">
        <f aca="false">COUNTIFS('Backlog Consolidé'!D5:D64,"Déploiement",'Backlog Consolidé'!K5:K64,"Terminé")</f>
        <v>0</v>
      </c>
      <c r="D32" s="15" t="n">
        <f aca="false">COUNTIFS('Backlog Consolidé'!D5:D64,"Déploiement",'Backlog Consolidé'!K5:K64,"En cours")</f>
        <v>0</v>
      </c>
      <c r="E32" s="15" t="n">
        <f aca="false">COUNTIFS('Backlog Consolidé'!D5:D64,"Déploiement",'Backlog Consolidé'!K5:K64,"A faire")</f>
        <v>8</v>
      </c>
      <c r="F32" s="16" t="n">
        <f aca="false">IF(B32=0,0,C32/B32)</f>
        <v>0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8"/>
    <col collapsed="false" customWidth="true" hidden="false" outlineLevel="0" max="3" min="3" style="0" width="18"/>
    <col collapsed="false" customWidth="true" hidden="false" outlineLevel="0" max="4" min="4" style="0" width="24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11"/>
  </cols>
  <sheetData>
    <row r="1" customFormat="false" ht="21.75" hidden="false" customHeight="true" outlineLevel="0" collapsed="false">
      <c r="A1" s="1" t="s">
        <v>290</v>
      </c>
      <c r="B1" s="1"/>
      <c r="C1" s="1"/>
      <c r="D1" s="1"/>
      <c r="E1" s="1"/>
      <c r="F1" s="1"/>
      <c r="G1" s="1"/>
    </row>
    <row r="3" customFormat="false" ht="27.75" hidden="false" customHeight="true" outlineLevel="0" collapsed="false">
      <c r="A3" s="3" t="s">
        <v>3</v>
      </c>
      <c r="B3" s="3" t="s">
        <v>4</v>
      </c>
      <c r="C3" s="3" t="s">
        <v>291</v>
      </c>
      <c r="D3" s="3" t="s">
        <v>292</v>
      </c>
      <c r="E3" s="3" t="s">
        <v>10</v>
      </c>
      <c r="F3" s="3" t="s">
        <v>11</v>
      </c>
      <c r="G3" s="3" t="s">
        <v>8</v>
      </c>
    </row>
    <row r="4" customFormat="false" ht="21.75" hidden="false" customHeight="true" outlineLevel="0" collapsed="false">
      <c r="A4" s="7" t="s">
        <v>15</v>
      </c>
      <c r="B4" s="8" t="s">
        <v>16</v>
      </c>
      <c r="C4" s="8" t="s">
        <v>19</v>
      </c>
      <c r="D4" s="8" t="s">
        <v>26</v>
      </c>
      <c r="E4" s="9" t="s">
        <v>21</v>
      </c>
      <c r="F4" s="9" t="s">
        <v>293</v>
      </c>
      <c r="G4" s="7" t="s">
        <v>20</v>
      </c>
    </row>
    <row r="5" customFormat="false" ht="21.75" hidden="false" customHeight="true" outlineLevel="0" collapsed="false">
      <c r="A5" s="4" t="s">
        <v>101</v>
      </c>
      <c r="B5" s="5" t="s">
        <v>102</v>
      </c>
      <c r="C5" s="5" t="s">
        <v>104</v>
      </c>
      <c r="D5" s="5" t="s">
        <v>17</v>
      </c>
      <c r="E5" s="6" t="s">
        <v>105</v>
      </c>
      <c r="F5" s="6" t="s">
        <v>294</v>
      </c>
      <c r="G5" s="4" t="s">
        <v>35</v>
      </c>
    </row>
    <row r="6" customFormat="false" ht="21.75" hidden="false" customHeight="true" outlineLevel="0" collapsed="false">
      <c r="A6" s="7" t="s">
        <v>161</v>
      </c>
      <c r="B6" s="8" t="s">
        <v>162</v>
      </c>
      <c r="C6" s="8" t="s">
        <v>164</v>
      </c>
      <c r="D6" s="8" t="s">
        <v>71</v>
      </c>
      <c r="E6" s="9" t="s">
        <v>165</v>
      </c>
      <c r="F6" s="9" t="s">
        <v>295</v>
      </c>
      <c r="G6" s="7" t="s">
        <v>20</v>
      </c>
    </row>
    <row r="7" customFormat="false" ht="21.75" hidden="false" customHeight="true" outlineLevel="0" collapsed="false">
      <c r="A7" s="4" t="s">
        <v>216</v>
      </c>
      <c r="B7" s="5" t="s">
        <v>217</v>
      </c>
      <c r="C7" s="5" t="s">
        <v>219</v>
      </c>
      <c r="D7" s="5" t="s">
        <v>53</v>
      </c>
      <c r="E7" s="6" t="s">
        <v>220</v>
      </c>
      <c r="F7" s="6" t="s">
        <v>296</v>
      </c>
      <c r="G7" s="4" t="s">
        <v>35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2026-04-23T11:04:32Z</dcterms:created>
  <dc:creator>openpyxl</dc:creator>
  <dc:description/>
  <dc:language>en-US</dc:language>
  <cp:lastModifiedBy/>
  <dcterms:modified xsi:type="dcterms:W3CDTF">2026-04-23T11:04:32Z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