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Tableau de bord" sheetId="2" state="visible" r:id="rId4"/>
    <sheet name="Fiche Item (modèle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<sst xmlns="http://schemas.openxmlformats.org/spreadsheetml/2006/main" count="229" uniqueCount="147">
  <si>
    <t xml:space="preserve">PROJ-001 — Refonte SI Gestion des Incidents</t>
  </si>
  <si>
    <t xml:space="preserve">Chef de projet : M. Dupont</t>
  </si>
  <si>
    <t xml:space="preserve">Phase courante : Conception Générale</t>
  </si>
  <si>
    <t xml:space="preserve">Début : 01/03/2025</t>
  </si>
  <si>
    <t xml:space="preserve">Fin prévue : 30/09/2025</t>
  </si>
  <si>
    <t xml:space="preserve">ID</t>
  </si>
  <si>
    <t xml:space="preserve">Phase Cycle en V</t>
  </si>
  <si>
    <t xml:space="preserve">Titre de l'Item</t>
  </si>
  <si>
    <t xml:space="preserve">Responsable</t>
  </si>
  <si>
    <t xml:space="preserve">Priorité</t>
  </si>
  <si>
    <t xml:space="preserve">Effort (j)</t>
  </si>
  <si>
    <t xml:space="preserve">Date Début</t>
  </si>
  <si>
    <t xml:space="preserve">Date Fin</t>
  </si>
  <si>
    <t xml:space="preserve">Statut</t>
  </si>
  <si>
    <t xml:space="preserve">Dépendances</t>
  </si>
  <si>
    <t xml:space="preserve">Commentaires</t>
  </si>
  <si>
    <t xml:space="preserve">BL-001</t>
  </si>
  <si>
    <t xml:space="preserve">Expression des Besoins</t>
  </si>
  <si>
    <t xml:space="preserve">Cartographie des processus de gestion des incidents</t>
  </si>
  <si>
    <t xml:space="preserve">M. Dupont</t>
  </si>
  <si>
    <t xml:space="preserve">P1</t>
  </si>
  <si>
    <t xml:space="preserve">8</t>
  </si>
  <si>
    <t xml:space="preserve">01/03/2025</t>
  </si>
  <si>
    <t xml:space="preserve">14/03/2025</t>
  </si>
  <si>
    <t xml:space="preserve">Terminé</t>
  </si>
  <si>
    <t xml:space="preserve">Livrables validés en atelier métier</t>
  </si>
  <si>
    <t xml:space="preserve">BL-002</t>
  </si>
  <si>
    <t xml:space="preserve">Conception Générale</t>
  </si>
  <si>
    <t xml:space="preserve">Rédaction du dossier d'architecture applicative cible</t>
  </si>
  <si>
    <t xml:space="preserve">13</t>
  </si>
  <si>
    <t xml:space="preserve">17/03/2025</t>
  </si>
  <si>
    <t xml:space="preserve">04/04/2025</t>
  </si>
  <si>
    <t xml:space="preserve">En cours</t>
  </si>
  <si>
    <t xml:space="preserve">Dépend BL-001</t>
  </si>
  <si>
    <t xml:space="preserve">BL-003</t>
  </si>
  <si>
    <t xml:space="preserve">Revue des interfaces avec les systèmes tiers (ITSM, AD)</t>
  </si>
  <si>
    <t xml:space="preserve">Mme Simon</t>
  </si>
  <si>
    <t xml:space="preserve">P2</t>
  </si>
  <si>
    <t xml:space="preserve">5</t>
  </si>
  <si>
    <t xml:space="preserve">07/04/2025</t>
  </si>
  <si>
    <t xml:space="preserve">11/04/2025</t>
  </si>
  <si>
    <t xml:space="preserve">A faire</t>
  </si>
  <si>
    <t xml:space="preserve">BL-004</t>
  </si>
  <si>
    <t xml:space="preserve">Validation de l'architecture en COPIL technique</t>
  </si>
  <si>
    <t xml:space="preserve">2</t>
  </si>
  <si>
    <t xml:space="preserve">14/04/2025</t>
  </si>
  <si>
    <t xml:space="preserve">15/04/2025</t>
  </si>
  <si>
    <t xml:space="preserve">Nécessite présence DSI</t>
  </si>
  <si>
    <t xml:space="preserve">BL-005</t>
  </si>
  <si>
    <t xml:space="preserve">Conception Détaillée</t>
  </si>
  <si>
    <t xml:space="preserve">Spécification des API REST entre modules</t>
  </si>
  <si>
    <t xml:space="preserve">Equipe Dev</t>
  </si>
  <si>
    <t xml:space="preserve">10</t>
  </si>
  <si>
    <t xml:space="preserve">22/04/2025</t>
  </si>
  <si>
    <t xml:space="preserve">05/05/2025</t>
  </si>
  <si>
    <t xml:space="preserve">BL-006</t>
  </si>
  <si>
    <t xml:space="preserve">Modélisation UML des classes métier incidents</t>
  </si>
  <si>
    <t xml:space="preserve">M. Lefort</t>
  </si>
  <si>
    <t xml:space="preserve">02/05/2025</t>
  </si>
  <si>
    <t xml:space="preserve">BL-007</t>
  </si>
  <si>
    <t xml:space="preserve">Réalisation</t>
  </si>
  <si>
    <t xml:space="preserve">Développement module création/mise à jour des incidents</t>
  </si>
  <si>
    <t xml:space="preserve">20</t>
  </si>
  <si>
    <t xml:space="preserve">12/05/2025</t>
  </si>
  <si>
    <t xml:space="preserve">06/06/2025</t>
  </si>
  <si>
    <t xml:space="preserve">BL-008</t>
  </si>
  <si>
    <t xml:space="preserve">Développement module notification et escalade</t>
  </si>
  <si>
    <t xml:space="preserve">15</t>
  </si>
  <si>
    <t xml:space="preserve">30/05/2025</t>
  </si>
  <si>
    <t xml:space="preserve">BL-009</t>
  </si>
  <si>
    <t xml:space="preserve">Développement connecteur LDAP / Active Directory</t>
  </si>
  <si>
    <t xml:space="preserve">02/06/2025</t>
  </si>
  <si>
    <t xml:space="preserve">13/06/2025</t>
  </si>
  <si>
    <t xml:space="preserve">BL-010</t>
  </si>
  <si>
    <t xml:space="preserve">Intégration</t>
  </si>
  <si>
    <t xml:space="preserve">Tests d'intégration entre modules</t>
  </si>
  <si>
    <t xml:space="preserve">Equipe QA</t>
  </si>
  <si>
    <t xml:space="preserve">16/06/2025</t>
  </si>
  <si>
    <t xml:space="preserve">25/06/2025</t>
  </si>
  <si>
    <t xml:space="preserve">BL-007;BL-008</t>
  </si>
  <si>
    <t xml:space="preserve">BL-011</t>
  </si>
  <si>
    <t xml:space="preserve">Recette</t>
  </si>
  <si>
    <t xml:space="preserve">Rédaction des cas de test fonctionnels</t>
  </si>
  <si>
    <t xml:space="preserve">6</t>
  </si>
  <si>
    <t xml:space="preserve">30/06/2025</t>
  </si>
  <si>
    <t xml:space="preserve">07/07/2025</t>
  </si>
  <si>
    <t xml:space="preserve">BL-012</t>
  </si>
  <si>
    <t xml:space="preserve">Exécution des tests de non-régression (TNR)</t>
  </si>
  <si>
    <t xml:space="preserve">08/07/2025</t>
  </si>
  <si>
    <t xml:space="preserve">14/07/2025</t>
  </si>
  <si>
    <t xml:space="preserve">BL-013</t>
  </si>
  <si>
    <t xml:space="preserve">Correction des anomalies sévérité 1 et 2</t>
  </si>
  <si>
    <t xml:space="preserve">15/07/2025</t>
  </si>
  <si>
    <t xml:space="preserve">24/07/2025</t>
  </si>
  <si>
    <t xml:space="preserve">BL-014</t>
  </si>
  <si>
    <t xml:space="preserve">Validation et signature PV de recette</t>
  </si>
  <si>
    <t xml:space="preserve">25/07/2025</t>
  </si>
  <si>
    <t xml:space="preserve">28/07/2025</t>
  </si>
  <si>
    <t xml:space="preserve">BL-015</t>
  </si>
  <si>
    <t xml:space="preserve">Déploiement</t>
  </si>
  <si>
    <t xml:space="preserve">Mise en production et documentation</t>
  </si>
  <si>
    <t xml:space="preserve">01/09/2025</t>
  </si>
  <si>
    <t xml:space="preserve">05/09/2025</t>
  </si>
  <si>
    <t xml:space="preserve">Tableau de bord — PROJ-001 — Refonte SI Gestion des Incidents</t>
  </si>
  <si>
    <t xml:space="preserve">Indicateur</t>
  </si>
  <si>
    <t xml:space="preserve">Nb items</t>
  </si>
  <si>
    <t xml:space="preserve">% du total</t>
  </si>
  <si>
    <t xml:space="preserve">Total items</t>
  </si>
  <si>
    <t xml:space="preserve">Bloqué</t>
  </si>
  <si>
    <t xml:space="preserve">Annulé</t>
  </si>
  <si>
    <t xml:space="preserve">% Terminé</t>
  </si>
  <si>
    <t xml:space="preserve">Effort total estimé (j)</t>
  </si>
  <si>
    <t xml:space="preserve">Effort réalisé estimé (j)</t>
  </si>
  <si>
    <t xml:space="preserve">Effort restant (j)</t>
  </si>
  <si>
    <t xml:space="preserve">Taux de complétion (effort)</t>
  </si>
  <si>
    <t xml:space="preserve">FICHE ITEM BACKLOG — MODELE</t>
  </si>
  <si>
    <t xml:space="preserve">Identifiant *</t>
  </si>
  <si>
    <t xml:space="preserve">[BL-XXX]</t>
  </si>
  <si>
    <t xml:space="preserve">Projet associé *</t>
  </si>
  <si>
    <t xml:space="preserve">Titre *</t>
  </si>
  <si>
    <t xml:space="preserve">[Intitulé court et explicite de l'item]</t>
  </si>
  <si>
    <t xml:space="preserve">Phase Cycle en V *</t>
  </si>
  <si>
    <t xml:space="preserve">[Expression des Besoins / Conception Générale / Conception Détaillée / Réalisation / Intégration / Recette / Déploiement]</t>
  </si>
  <si>
    <t xml:space="preserve">Description *</t>
  </si>
  <si>
    <t xml:space="preserve">[Description détaillée : tâche, livrables attendus, périmètre fonctionnel ou technique]</t>
  </si>
  <si>
    <t xml:space="preserve">Critères d'acceptation *</t>
  </si>
  <si>
    <t xml:space="preserve">[Conditions précises pour valider que l'item est terminé — Definition of Done]</t>
  </si>
  <si>
    <t xml:space="preserve">Priorité *</t>
  </si>
  <si>
    <t xml:space="preserve">[P1 — Critique / P2 — Haute / P3 — Normale / P4 — Faible]</t>
  </si>
  <si>
    <t xml:space="preserve">Effort estimé (j) *</t>
  </si>
  <si>
    <t xml:space="preserve">[Estimation en jours-hommes, granularité 0,5j]</t>
  </si>
  <si>
    <t xml:space="preserve">Responsable *</t>
  </si>
  <si>
    <t xml:space="preserve">[Nom Prénom / Equipe]</t>
  </si>
  <si>
    <t xml:space="preserve">Participants / Relecteurs</t>
  </si>
  <si>
    <t xml:space="preserve">[Autres intervenants]</t>
  </si>
  <si>
    <t xml:space="preserve">Date de début prévue</t>
  </si>
  <si>
    <t xml:space="preserve">[JJ/MM/AAAA]</t>
  </si>
  <si>
    <t xml:space="preserve">Date de fin prévue</t>
  </si>
  <si>
    <t xml:space="preserve">Statut *</t>
  </si>
  <si>
    <t xml:space="preserve">[A faire / En cours / Terminé / Bloqué / Annulé]</t>
  </si>
  <si>
    <t xml:space="preserve">[Identifiants BL-XXX dont cet item dépend]</t>
  </si>
  <si>
    <t xml:space="preserve">Documents associés</t>
  </si>
  <si>
    <t xml:space="preserve">[Chemins réseau, spécifications, maquettes]</t>
  </si>
  <si>
    <t xml:space="preserve">Commentaires / Risques</t>
  </si>
  <si>
    <t xml:space="preserve">[Remarques, points d'attention, risques identifiés]</t>
  </si>
  <si>
    <t xml:space="preserve">Historique des modifications</t>
  </si>
  <si>
    <t xml:space="preserve">[JJ/MM/AAAA — Auteur — Nature de la modification]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</si>
</sst>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9" min="7" style="0" width="14"/>
    <col collapsed="false" customWidth="true" hidden="false" outlineLevel="0" max="10" min="10" style="0" width="18"/>
    <col collapsed="false" customWidth="true" hidden="false" outlineLevel="0" max="11" min="11" style="0" width="3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 t="s">
        <v>2</v>
      </c>
      <c r="E2" s="2"/>
      <c r="F2" s="2"/>
      <c r="G2" s="2" t="s">
        <v>3</v>
      </c>
      <c r="H2" s="2"/>
      <c r="I2" s="2" t="s">
        <v>4</v>
      </c>
      <c r="J2" s="2"/>
      <c r="K2" s="2"/>
    </row>
    <row r="3" customFormat="false" ht="6" hidden="false" customHeight="true" outlineLevel="0" collapsed="false"/>
    <row r="4" customFormat="false" ht="30" hidden="false" customHeight="true" outlineLevel="0" collapsed="false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</row>
    <row r="5" customFormat="false" ht="21.75" hidden="false" customHeight="tru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5"/>
      <c r="K5" s="5" t="s">
        <v>25</v>
      </c>
    </row>
    <row r="6" customFormat="false" ht="21.75" hidden="false" customHeight="true" outlineLevel="0" collapsed="false">
      <c r="A6" s="7" t="s">
        <v>26</v>
      </c>
      <c r="B6" s="8" t="s">
        <v>27</v>
      </c>
      <c r="C6" s="8" t="s">
        <v>28</v>
      </c>
      <c r="D6" s="8" t="s">
        <v>19</v>
      </c>
      <c r="E6" s="9" t="s">
        <v>20</v>
      </c>
      <c r="F6" s="9" t="s">
        <v>29</v>
      </c>
      <c r="G6" s="9" t="s">
        <v>30</v>
      </c>
      <c r="H6" s="9" t="s">
        <v>31</v>
      </c>
      <c r="I6" s="9" t="s">
        <v>32</v>
      </c>
      <c r="J6" s="8"/>
      <c r="K6" s="8" t="s">
        <v>33</v>
      </c>
    </row>
    <row r="7" customFormat="false" ht="21.75" hidden="false" customHeight="true" outlineLevel="0" collapsed="false">
      <c r="A7" s="4" t="s">
        <v>34</v>
      </c>
      <c r="B7" s="5" t="s">
        <v>27</v>
      </c>
      <c r="C7" s="5" t="s">
        <v>35</v>
      </c>
      <c r="D7" s="5" t="s">
        <v>36</v>
      </c>
      <c r="E7" s="6" t="s">
        <v>37</v>
      </c>
      <c r="F7" s="6" t="s">
        <v>38</v>
      </c>
      <c r="G7" s="6" t="s">
        <v>39</v>
      </c>
      <c r="H7" s="6" t="s">
        <v>40</v>
      </c>
      <c r="I7" s="6" t="s">
        <v>41</v>
      </c>
      <c r="J7" s="5" t="s">
        <v>26</v>
      </c>
      <c r="K7" s="5"/>
    </row>
    <row r="8" customFormat="false" ht="21.75" hidden="false" customHeight="true" outlineLevel="0" collapsed="false">
      <c r="A8" s="7" t="s">
        <v>42</v>
      </c>
      <c r="B8" s="8" t="s">
        <v>27</v>
      </c>
      <c r="C8" s="8" t="s">
        <v>43</v>
      </c>
      <c r="D8" s="8" t="s">
        <v>19</v>
      </c>
      <c r="E8" s="9" t="s">
        <v>20</v>
      </c>
      <c r="F8" s="9" t="s">
        <v>44</v>
      </c>
      <c r="G8" s="9" t="s">
        <v>45</v>
      </c>
      <c r="H8" s="9" t="s">
        <v>46</v>
      </c>
      <c r="I8" s="9" t="s">
        <v>41</v>
      </c>
      <c r="J8" s="8" t="s">
        <v>26</v>
      </c>
      <c r="K8" s="8" t="s">
        <v>47</v>
      </c>
    </row>
    <row r="9" customFormat="false" ht="21.75" hidden="false" customHeight="true" outlineLevel="0" collapsed="false">
      <c r="A9" s="4" t="s">
        <v>48</v>
      </c>
      <c r="B9" s="5" t="s">
        <v>49</v>
      </c>
      <c r="C9" s="5" t="s">
        <v>50</v>
      </c>
      <c r="D9" s="5" t="s">
        <v>51</v>
      </c>
      <c r="E9" s="6" t="s">
        <v>20</v>
      </c>
      <c r="F9" s="6" t="s">
        <v>52</v>
      </c>
      <c r="G9" s="6" t="s">
        <v>53</v>
      </c>
      <c r="H9" s="6" t="s">
        <v>54</v>
      </c>
      <c r="I9" s="6" t="s">
        <v>41</v>
      </c>
      <c r="J9" s="5" t="s">
        <v>42</v>
      </c>
      <c r="K9" s="5"/>
    </row>
    <row r="10" customFormat="false" ht="21.75" hidden="false" customHeight="true" outlineLevel="0" collapsed="false">
      <c r="A10" s="7" t="s">
        <v>55</v>
      </c>
      <c r="B10" s="8" t="s">
        <v>49</v>
      </c>
      <c r="C10" s="8" t="s">
        <v>56</v>
      </c>
      <c r="D10" s="8" t="s">
        <v>57</v>
      </c>
      <c r="E10" s="9" t="s">
        <v>37</v>
      </c>
      <c r="F10" s="9" t="s">
        <v>21</v>
      </c>
      <c r="G10" s="9" t="s">
        <v>53</v>
      </c>
      <c r="H10" s="9" t="s">
        <v>58</v>
      </c>
      <c r="I10" s="9" t="s">
        <v>41</v>
      </c>
      <c r="J10" s="8" t="s">
        <v>42</v>
      </c>
      <c r="K10" s="8"/>
    </row>
    <row r="11" customFormat="false" ht="21.75" hidden="false" customHeight="true" outlineLevel="0" collapsed="false">
      <c r="A11" s="4" t="s">
        <v>59</v>
      </c>
      <c r="B11" s="5" t="s">
        <v>60</v>
      </c>
      <c r="C11" s="5" t="s">
        <v>61</v>
      </c>
      <c r="D11" s="5" t="s">
        <v>51</v>
      </c>
      <c r="E11" s="6" t="s">
        <v>20</v>
      </c>
      <c r="F11" s="6" t="s">
        <v>62</v>
      </c>
      <c r="G11" s="6" t="s">
        <v>63</v>
      </c>
      <c r="H11" s="6" t="s">
        <v>64</v>
      </c>
      <c r="I11" s="6" t="s">
        <v>41</v>
      </c>
      <c r="J11" s="5" t="s">
        <v>48</v>
      </c>
      <c r="K11" s="5"/>
    </row>
    <row r="12" customFormat="false" ht="21.75" hidden="false" customHeight="true" outlineLevel="0" collapsed="false">
      <c r="A12" s="7" t="s">
        <v>65</v>
      </c>
      <c r="B12" s="8" t="s">
        <v>60</v>
      </c>
      <c r="C12" s="8" t="s">
        <v>66</v>
      </c>
      <c r="D12" s="8" t="s">
        <v>51</v>
      </c>
      <c r="E12" s="9" t="s">
        <v>20</v>
      </c>
      <c r="F12" s="9" t="s">
        <v>67</v>
      </c>
      <c r="G12" s="9" t="s">
        <v>63</v>
      </c>
      <c r="H12" s="9" t="s">
        <v>68</v>
      </c>
      <c r="I12" s="9" t="s">
        <v>41</v>
      </c>
      <c r="J12" s="8" t="s">
        <v>48</v>
      </c>
      <c r="K12" s="8"/>
    </row>
    <row r="13" customFormat="false" ht="21.75" hidden="false" customHeight="true" outlineLevel="0" collapsed="false">
      <c r="A13" s="4" t="s">
        <v>69</v>
      </c>
      <c r="B13" s="5" t="s">
        <v>60</v>
      </c>
      <c r="C13" s="5" t="s">
        <v>70</v>
      </c>
      <c r="D13" s="5" t="s">
        <v>57</v>
      </c>
      <c r="E13" s="6" t="s">
        <v>37</v>
      </c>
      <c r="F13" s="6" t="s">
        <v>52</v>
      </c>
      <c r="G13" s="6" t="s">
        <v>71</v>
      </c>
      <c r="H13" s="6" t="s">
        <v>72</v>
      </c>
      <c r="I13" s="6" t="s">
        <v>41</v>
      </c>
      <c r="J13" s="5" t="s">
        <v>55</v>
      </c>
      <c r="K13" s="5"/>
    </row>
    <row r="14" customFormat="false" ht="21.75" hidden="false" customHeight="true" outlineLevel="0" collapsed="false">
      <c r="A14" s="7" t="s">
        <v>73</v>
      </c>
      <c r="B14" s="8" t="s">
        <v>74</v>
      </c>
      <c r="C14" s="8" t="s">
        <v>75</v>
      </c>
      <c r="D14" s="8" t="s">
        <v>76</v>
      </c>
      <c r="E14" s="9" t="s">
        <v>20</v>
      </c>
      <c r="F14" s="9" t="s">
        <v>21</v>
      </c>
      <c r="G14" s="9" t="s">
        <v>77</v>
      </c>
      <c r="H14" s="9" t="s">
        <v>78</v>
      </c>
      <c r="I14" s="9" t="s">
        <v>41</v>
      </c>
      <c r="J14" s="8" t="s">
        <v>79</v>
      </c>
      <c r="K14" s="8"/>
    </row>
    <row r="15" customFormat="false" ht="21.75" hidden="false" customHeight="true" outlineLevel="0" collapsed="false">
      <c r="A15" s="4" t="s">
        <v>80</v>
      </c>
      <c r="B15" s="5" t="s">
        <v>81</v>
      </c>
      <c r="C15" s="5" t="s">
        <v>82</v>
      </c>
      <c r="D15" s="5" t="s">
        <v>19</v>
      </c>
      <c r="E15" s="6" t="s">
        <v>20</v>
      </c>
      <c r="F15" s="6" t="s">
        <v>83</v>
      </c>
      <c r="G15" s="6" t="s">
        <v>84</v>
      </c>
      <c r="H15" s="6" t="s">
        <v>85</v>
      </c>
      <c r="I15" s="6" t="s">
        <v>41</v>
      </c>
      <c r="J15" s="5" t="s">
        <v>73</v>
      </c>
      <c r="K15" s="5"/>
    </row>
    <row r="16" customFormat="false" ht="21.75" hidden="false" customHeight="true" outlineLevel="0" collapsed="false">
      <c r="A16" s="7" t="s">
        <v>86</v>
      </c>
      <c r="B16" s="8" t="s">
        <v>81</v>
      </c>
      <c r="C16" s="8" t="s">
        <v>87</v>
      </c>
      <c r="D16" s="8" t="s">
        <v>76</v>
      </c>
      <c r="E16" s="9" t="s">
        <v>20</v>
      </c>
      <c r="F16" s="9" t="s">
        <v>38</v>
      </c>
      <c r="G16" s="9" t="s">
        <v>88</v>
      </c>
      <c r="H16" s="9" t="s">
        <v>89</v>
      </c>
      <c r="I16" s="9" t="s">
        <v>41</v>
      </c>
      <c r="J16" s="8" t="s">
        <v>80</v>
      </c>
      <c r="K16" s="8"/>
    </row>
    <row r="17" customFormat="false" ht="21.75" hidden="false" customHeight="true" outlineLevel="0" collapsed="false">
      <c r="A17" s="4" t="s">
        <v>90</v>
      </c>
      <c r="B17" s="5" t="s">
        <v>81</v>
      </c>
      <c r="C17" s="5" t="s">
        <v>91</v>
      </c>
      <c r="D17" s="5" t="s">
        <v>51</v>
      </c>
      <c r="E17" s="6" t="s">
        <v>20</v>
      </c>
      <c r="F17" s="6" t="s">
        <v>21</v>
      </c>
      <c r="G17" s="6" t="s">
        <v>92</v>
      </c>
      <c r="H17" s="6" t="s">
        <v>93</v>
      </c>
      <c r="I17" s="6" t="s">
        <v>41</v>
      </c>
      <c r="J17" s="5" t="s">
        <v>86</v>
      </c>
      <c r="K17" s="5"/>
    </row>
    <row r="18" customFormat="false" ht="21.75" hidden="false" customHeight="true" outlineLevel="0" collapsed="false">
      <c r="A18" s="7" t="s">
        <v>94</v>
      </c>
      <c r="B18" s="8" t="s">
        <v>81</v>
      </c>
      <c r="C18" s="8" t="s">
        <v>95</v>
      </c>
      <c r="D18" s="8" t="s">
        <v>19</v>
      </c>
      <c r="E18" s="9" t="s">
        <v>20</v>
      </c>
      <c r="F18" s="9" t="s">
        <v>44</v>
      </c>
      <c r="G18" s="9" t="s">
        <v>96</v>
      </c>
      <c r="H18" s="9" t="s">
        <v>97</v>
      </c>
      <c r="I18" s="9" t="s">
        <v>41</v>
      </c>
      <c r="J18" s="8" t="s">
        <v>90</v>
      </c>
      <c r="K18" s="8"/>
    </row>
    <row r="19" customFormat="false" ht="21.75" hidden="false" customHeight="true" outlineLevel="0" collapsed="false">
      <c r="A19" s="4" t="s">
        <v>98</v>
      </c>
      <c r="B19" s="5" t="s">
        <v>99</v>
      </c>
      <c r="C19" s="5" t="s">
        <v>100</v>
      </c>
      <c r="D19" s="5" t="s">
        <v>51</v>
      </c>
      <c r="E19" s="6" t="s">
        <v>20</v>
      </c>
      <c r="F19" s="6" t="s">
        <v>38</v>
      </c>
      <c r="G19" s="6" t="s">
        <v>101</v>
      </c>
      <c r="H19" s="6" t="s">
        <v>102</v>
      </c>
      <c r="I19" s="6" t="s">
        <v>41</v>
      </c>
      <c r="J19" s="5" t="s">
        <v>94</v>
      </c>
      <c r="K19" s="5"/>
    </row>
  </sheetData>
  <mergeCells count="5">
    <mergeCell ref="A1:K1"/>
    <mergeCell ref="A2:C2"/>
    <mergeCell ref="D2:F2"/>
    <mergeCell ref="G2:H2"/>
    <mergeCell ref="I2:J2"/>
  </mergeCells>
  <dataValidations count="3">
    <dataValidation allowBlank="true" errorStyle="stop" operator="between" showDropDown="false" showErrorMessage="false" showInputMessage="false" sqref="B5:B19" type="list">
      <formula1>"Expression des Besoins,Conception Générale,Conception Détaillée,Réalisation,Intégration,Recette,Déploiement"</formula1>
      <formula2>0</formula2>
    </dataValidation>
    <dataValidation allowBlank="true" errorStyle="stop" operator="between" showDropDown="false" showErrorMessage="false" showInputMessage="false" sqref="I5:I19" type="list">
      <formula1>"A faire,En cours,Terminé,Bloqué,Annulé"</formula1>
      <formula2>0</formula2>
    </dataValidation>
    <dataValidation allowBlank="true" errorStyle="stop" operator="between" showDropDown="false" showErrorMessage="false" showInputMessage="false" sqref="E5:E19" type="list">
      <formula1>"P1,P2,P3,P4"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" t="s">
        <v>103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3" t="s">
        <v>104</v>
      </c>
      <c r="B3" s="3" t="s">
        <v>105</v>
      </c>
      <c r="C3" s="3" t="s">
        <v>106</v>
      </c>
    </row>
    <row r="4" customFormat="false" ht="19.5" hidden="false" customHeight="true" outlineLevel="0" collapsed="false">
      <c r="A4" s="10" t="s">
        <v>107</v>
      </c>
      <c r="B4" s="8" t="n">
        <f aca="false">COUNTA(Backlog!A5:A19)</f>
        <v>15</v>
      </c>
      <c r="C4" s="11" t="n">
        <f aca="false">IF(B4=0,0,B4/B4)</f>
        <v>1</v>
      </c>
    </row>
    <row r="5" customFormat="false" ht="19.5" hidden="false" customHeight="true" outlineLevel="0" collapsed="false">
      <c r="A5" s="5" t="s">
        <v>24</v>
      </c>
      <c r="B5" s="5" t="n">
        <f aca="false">COUNTIF(Backlog!I5:I19,"Terminé")</f>
        <v>1</v>
      </c>
      <c r="C5" s="12" t="n">
        <f aca="false">IF(B5=0,0,B5/B4)</f>
        <v>0.0666666666666667</v>
      </c>
    </row>
    <row r="6" customFormat="false" ht="19.5" hidden="false" customHeight="true" outlineLevel="0" collapsed="false">
      <c r="A6" s="8" t="s">
        <v>32</v>
      </c>
      <c r="B6" s="8" t="n">
        <f aca="false">COUNTIF(Backlog!I5:I19,"En cours")</f>
        <v>1</v>
      </c>
      <c r="C6" s="11" t="n">
        <f aca="false">IF(B6=0,0,B6/B4)</f>
        <v>0.0666666666666667</v>
      </c>
    </row>
    <row r="7" customFormat="false" ht="19.5" hidden="false" customHeight="true" outlineLevel="0" collapsed="false">
      <c r="A7" s="5" t="s">
        <v>41</v>
      </c>
      <c r="B7" s="5" t="n">
        <f aca="false">COUNTIF(Backlog!I5:I19,"A faire")</f>
        <v>13</v>
      </c>
      <c r="C7" s="12" t="n">
        <f aca="false">IF(B7=0,0,B7/B4)</f>
        <v>0.866666666666667</v>
      </c>
    </row>
    <row r="8" customFormat="false" ht="19.5" hidden="false" customHeight="true" outlineLevel="0" collapsed="false">
      <c r="A8" s="8" t="s">
        <v>108</v>
      </c>
      <c r="B8" s="8" t="n">
        <f aca="false">COUNTIF(Backlog!I5:I19,"Bloqué")</f>
        <v>0</v>
      </c>
      <c r="C8" s="11" t="n">
        <f aca="false">IF(B8=0,0,B8/B4)</f>
        <v>0</v>
      </c>
    </row>
    <row r="9" customFormat="false" ht="19.5" hidden="false" customHeight="true" outlineLevel="0" collapsed="false">
      <c r="A9" s="5" t="s">
        <v>109</v>
      </c>
      <c r="B9" s="5" t="n">
        <f aca="false">COUNTIF(Backlog!I5:I19,"Annulé")</f>
        <v>0</v>
      </c>
      <c r="C9" s="12" t="n">
        <f aca="false">IF(B9=0,0,B9/B4)</f>
        <v>0</v>
      </c>
    </row>
    <row r="11" customFormat="false" ht="27.75" hidden="false" customHeight="true" outlineLevel="0" collapsed="false">
      <c r="A11" s="3" t="s">
        <v>6</v>
      </c>
      <c r="B11" s="3" t="s">
        <v>105</v>
      </c>
      <c r="C11" s="3" t="s">
        <v>24</v>
      </c>
      <c r="D11" s="3" t="s">
        <v>32</v>
      </c>
      <c r="E11" s="3" t="s">
        <v>41</v>
      </c>
      <c r="F11" s="3" t="s">
        <v>110</v>
      </c>
    </row>
    <row r="12" customFormat="false" ht="19.5" hidden="false" customHeight="true" outlineLevel="0" collapsed="false">
      <c r="A12" s="10" t="s">
        <v>17</v>
      </c>
      <c r="B12" s="8" t="n">
        <f aca="false">COUNTIF(Backlog!B5:B19,"Expression des Besoins")</f>
        <v>1</v>
      </c>
      <c r="C12" s="8" t="n">
        <f aca="false">COUNTIFS(Backlog!B5:B19,"Expression des Besoins",Backlog!I5:I19,"Terminé")</f>
        <v>1</v>
      </c>
      <c r="D12" s="8" t="n">
        <f aca="false">COUNTIFS(Backlog!B5:B19,"Expression des Besoins",Backlog!I5:I19,"En cours")</f>
        <v>0</v>
      </c>
      <c r="E12" s="8" t="n">
        <f aca="false">COUNTIFS(Backlog!B5:B19,"Expression des Besoins",Backlog!I5:I19,"A faire")</f>
        <v>0</v>
      </c>
      <c r="F12" s="11" t="n">
        <f aca="false">IF(B12=0,0,C12/B12)</f>
        <v>1</v>
      </c>
    </row>
    <row r="13" customFormat="false" ht="19.5" hidden="false" customHeight="true" outlineLevel="0" collapsed="false">
      <c r="A13" s="13" t="s">
        <v>27</v>
      </c>
      <c r="B13" s="5" t="n">
        <f aca="false">COUNTIF(Backlog!B5:B19,"Conception Générale")</f>
        <v>3</v>
      </c>
      <c r="C13" s="5" t="n">
        <f aca="false">COUNTIFS(Backlog!B5:B19,"Conception Générale",Backlog!I5:I19,"Terminé")</f>
        <v>0</v>
      </c>
      <c r="D13" s="5" t="n">
        <f aca="false">COUNTIFS(Backlog!B5:B19,"Conception Générale",Backlog!I5:I19,"En cours")</f>
        <v>1</v>
      </c>
      <c r="E13" s="5" t="n">
        <f aca="false">COUNTIFS(Backlog!B5:B19,"Conception Générale",Backlog!I5:I19,"A faire")</f>
        <v>2</v>
      </c>
      <c r="F13" s="12" t="n">
        <f aca="false">IF(B13=0,0,C13/B13)</f>
        <v>0</v>
      </c>
    </row>
    <row r="14" customFormat="false" ht="19.5" hidden="false" customHeight="true" outlineLevel="0" collapsed="false">
      <c r="A14" s="10" t="s">
        <v>49</v>
      </c>
      <c r="B14" s="8" t="n">
        <f aca="false">COUNTIF(Backlog!B5:B19,"Conception Détaillée")</f>
        <v>2</v>
      </c>
      <c r="C14" s="8" t="n">
        <f aca="false">COUNTIFS(Backlog!B5:B19,"Conception Détaillée",Backlog!I5:I19,"Terminé")</f>
        <v>0</v>
      </c>
      <c r="D14" s="8" t="n">
        <f aca="false">COUNTIFS(Backlog!B5:B19,"Conception Détaillée",Backlog!I5:I19,"En cours")</f>
        <v>0</v>
      </c>
      <c r="E14" s="8" t="n">
        <f aca="false">COUNTIFS(Backlog!B5:B19,"Conception Détaillée",Backlog!I5:I19,"A faire")</f>
        <v>2</v>
      </c>
      <c r="F14" s="11" t="n">
        <f aca="false">IF(B14=0,0,C14/B14)</f>
        <v>0</v>
      </c>
    </row>
    <row r="15" customFormat="false" ht="19.5" hidden="false" customHeight="true" outlineLevel="0" collapsed="false">
      <c r="A15" s="13" t="s">
        <v>60</v>
      </c>
      <c r="B15" s="5" t="n">
        <f aca="false">COUNTIF(Backlog!B5:B19,"Réalisation")</f>
        <v>3</v>
      </c>
      <c r="C15" s="5" t="n">
        <f aca="false">COUNTIFS(Backlog!B5:B19,"Réalisation",Backlog!I5:I19,"Terminé")</f>
        <v>0</v>
      </c>
      <c r="D15" s="5" t="n">
        <f aca="false">COUNTIFS(Backlog!B5:B19,"Réalisation",Backlog!I5:I19,"En cours")</f>
        <v>0</v>
      </c>
      <c r="E15" s="5" t="n">
        <f aca="false">COUNTIFS(Backlog!B5:B19,"Réalisation",Backlog!I5:I19,"A faire")</f>
        <v>3</v>
      </c>
      <c r="F15" s="12" t="n">
        <f aca="false">IF(B15=0,0,C15/B15)</f>
        <v>0</v>
      </c>
    </row>
    <row r="16" customFormat="false" ht="19.5" hidden="false" customHeight="true" outlineLevel="0" collapsed="false">
      <c r="A16" s="10" t="s">
        <v>74</v>
      </c>
      <c r="B16" s="8" t="n">
        <f aca="false">COUNTIF(Backlog!B5:B19,"Intégration")</f>
        <v>1</v>
      </c>
      <c r="C16" s="8" t="n">
        <f aca="false">COUNTIFS(Backlog!B5:B19,"Intégration",Backlog!I5:I19,"Terminé")</f>
        <v>0</v>
      </c>
      <c r="D16" s="8" t="n">
        <f aca="false">COUNTIFS(Backlog!B5:B19,"Intégration",Backlog!I5:I19,"En cours")</f>
        <v>0</v>
      </c>
      <c r="E16" s="8" t="n">
        <f aca="false">COUNTIFS(Backlog!B5:B19,"Intégration",Backlog!I5:I19,"A faire")</f>
        <v>1</v>
      </c>
      <c r="F16" s="11" t="n">
        <f aca="false">IF(B16=0,0,C16/B16)</f>
        <v>0</v>
      </c>
    </row>
    <row r="17" customFormat="false" ht="19.5" hidden="false" customHeight="true" outlineLevel="0" collapsed="false">
      <c r="A17" s="13" t="s">
        <v>81</v>
      </c>
      <c r="B17" s="5" t="n">
        <f aca="false">COUNTIF(Backlog!B5:B19,"Recette")</f>
        <v>4</v>
      </c>
      <c r="C17" s="5" t="n">
        <f aca="false">COUNTIFS(Backlog!B5:B19,"Recette",Backlog!I5:I19,"Terminé")</f>
        <v>0</v>
      </c>
      <c r="D17" s="5" t="n">
        <f aca="false">COUNTIFS(Backlog!B5:B19,"Recette",Backlog!I5:I19,"En cours")</f>
        <v>0</v>
      </c>
      <c r="E17" s="5" t="n">
        <f aca="false">COUNTIFS(Backlog!B5:B19,"Recette",Backlog!I5:I19,"A faire")</f>
        <v>4</v>
      </c>
      <c r="F17" s="12" t="n">
        <f aca="false">IF(B17=0,0,C17/B17)</f>
        <v>0</v>
      </c>
    </row>
    <row r="18" customFormat="false" ht="19.5" hidden="false" customHeight="true" outlineLevel="0" collapsed="false">
      <c r="A18" s="10" t="s">
        <v>99</v>
      </c>
      <c r="B18" s="8" t="n">
        <f aca="false">COUNTIF(Backlog!B5:B19,"Déploiement")</f>
        <v>1</v>
      </c>
      <c r="C18" s="8" t="n">
        <f aca="false">COUNTIFS(Backlog!B5:B19,"Déploiement",Backlog!I5:I19,"Terminé")</f>
        <v>0</v>
      </c>
      <c r="D18" s="8" t="n">
        <f aca="false">COUNTIFS(Backlog!B5:B19,"Déploiement",Backlog!I5:I19,"En cours")</f>
        <v>0</v>
      </c>
      <c r="E18" s="8" t="n">
        <f aca="false">COUNTIFS(Backlog!B5:B19,"Déploiement",Backlog!I5:I19,"A faire")</f>
        <v>1</v>
      </c>
      <c r="F18" s="11" t="n">
        <f aca="false">IF(B18=0,0,C18/B18)</f>
        <v>0</v>
      </c>
    </row>
    <row r="20" customFormat="false" ht="19.5" hidden="false" customHeight="true" outlineLevel="0" collapsed="false">
      <c r="A20" s="10" t="s">
        <v>111</v>
      </c>
      <c r="B20" s="8" t="n">
        <f aca="false">SUM(Backlog!F5:F19)</f>
        <v>0</v>
      </c>
    </row>
    <row r="21" customFormat="false" ht="19.5" hidden="false" customHeight="true" outlineLevel="0" collapsed="false">
      <c r="A21" s="13" t="s">
        <v>112</v>
      </c>
      <c r="B21" s="5" t="n">
        <f aca="false">SUMIF(Backlog!I5:I19,"Terminé",Backlog!F5:F19)</f>
        <v>0</v>
      </c>
    </row>
    <row r="22" customFormat="false" ht="19.5" hidden="false" customHeight="true" outlineLevel="0" collapsed="false">
      <c r="A22" s="10" t="s">
        <v>113</v>
      </c>
      <c r="B22" s="8" t="n">
        <f aca="false">B20-B21</f>
        <v>0</v>
      </c>
    </row>
    <row r="23" customFormat="false" ht="19.5" hidden="false" customHeight="true" outlineLevel="0" collapsed="false">
      <c r="A23" s="13" t="s">
        <v>114</v>
      </c>
      <c r="B23" s="12" t="n">
        <f aca="false">IF(B20=0,0,B21/B20)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</cols>
  <sheetData>
    <row r="1" customFormat="false" ht="24" hidden="false" customHeight="true" outlineLevel="0" collapsed="false">
      <c r="A1" s="14" t="s">
        <v>115</v>
      </c>
      <c r="B1" s="14"/>
    </row>
    <row r="2" customFormat="false" ht="27.75" hidden="false" customHeight="true" outlineLevel="0" collapsed="false">
      <c r="A2" s="2" t="s">
        <v>116</v>
      </c>
      <c r="B2" s="15" t="s">
        <v>117</v>
      </c>
    </row>
    <row r="3" customFormat="false" ht="27.75" hidden="false" customHeight="true" outlineLevel="0" collapsed="false">
      <c r="A3" s="2" t="s">
        <v>118</v>
      </c>
      <c r="B3" s="15" t="s">
        <v>0</v>
      </c>
    </row>
    <row r="4" customFormat="false" ht="27.75" hidden="false" customHeight="true" outlineLevel="0" collapsed="false">
      <c r="A4" s="2" t="s">
        <v>119</v>
      </c>
      <c r="B4" s="15" t="s">
        <v>120</v>
      </c>
    </row>
    <row r="5" customFormat="false" ht="27.75" hidden="false" customHeight="true" outlineLevel="0" collapsed="false">
      <c r="A5" s="2" t="s">
        <v>121</v>
      </c>
      <c r="B5" s="15" t="s">
        <v>122</v>
      </c>
    </row>
    <row r="6" customFormat="false" ht="27.75" hidden="false" customHeight="true" outlineLevel="0" collapsed="false">
      <c r="A6" s="2" t="s">
        <v>123</v>
      </c>
      <c r="B6" s="15" t="s">
        <v>124</v>
      </c>
    </row>
    <row r="7" customFormat="false" ht="27.75" hidden="false" customHeight="true" outlineLevel="0" collapsed="false">
      <c r="A7" s="2" t="s">
        <v>125</v>
      </c>
      <c r="B7" s="15" t="s">
        <v>126</v>
      </c>
    </row>
    <row r="8" customFormat="false" ht="27.75" hidden="false" customHeight="true" outlineLevel="0" collapsed="false">
      <c r="A8" s="2" t="s">
        <v>127</v>
      </c>
      <c r="B8" s="15" t="s">
        <v>128</v>
      </c>
    </row>
    <row r="9" customFormat="false" ht="27.75" hidden="false" customHeight="true" outlineLevel="0" collapsed="false">
      <c r="A9" s="2" t="s">
        <v>129</v>
      </c>
      <c r="B9" s="15" t="s">
        <v>130</v>
      </c>
    </row>
    <row r="10" customFormat="false" ht="27.75" hidden="false" customHeight="true" outlineLevel="0" collapsed="false">
      <c r="A10" s="2" t="s">
        <v>131</v>
      </c>
      <c r="B10" s="15" t="s">
        <v>132</v>
      </c>
    </row>
    <row r="11" customFormat="false" ht="27.75" hidden="false" customHeight="true" outlineLevel="0" collapsed="false">
      <c r="A11" s="2" t="s">
        <v>133</v>
      </c>
      <c r="B11" s="15" t="s">
        <v>134</v>
      </c>
    </row>
    <row r="12" customFormat="false" ht="27.75" hidden="false" customHeight="true" outlineLevel="0" collapsed="false">
      <c r="A12" s="2" t="s">
        <v>135</v>
      </c>
      <c r="B12" s="15" t="s">
        <v>136</v>
      </c>
    </row>
    <row r="13" customFormat="false" ht="27.75" hidden="false" customHeight="true" outlineLevel="0" collapsed="false">
      <c r="A13" s="2" t="s">
        <v>137</v>
      </c>
      <c r="B13" s="15" t="s">
        <v>136</v>
      </c>
    </row>
    <row r="14" customFormat="false" ht="27.75" hidden="false" customHeight="true" outlineLevel="0" collapsed="false">
      <c r="A14" s="2" t="s">
        <v>138</v>
      </c>
      <c r="B14" s="15" t="s">
        <v>139</v>
      </c>
    </row>
    <row r="15" customFormat="false" ht="27.75" hidden="false" customHeight="true" outlineLevel="0" collapsed="false">
      <c r="A15" s="2" t="s">
        <v>14</v>
      </c>
      <c r="B15" s="15" t="s">
        <v>140</v>
      </c>
    </row>
    <row r="16" customFormat="false" ht="27.75" hidden="false" customHeight="true" outlineLevel="0" collapsed="false">
      <c r="A16" s="2" t="s">
        <v>141</v>
      </c>
      <c r="B16" s="15" t="s">
        <v>142</v>
      </c>
    </row>
    <row r="17" customFormat="false" ht="27.75" hidden="false" customHeight="true" outlineLevel="0" collapsed="false">
      <c r="A17" s="2" t="s">
        <v>143</v>
      </c>
      <c r="B17" s="15" t="s">
        <v>144</v>
      </c>
    </row>
    <row r="18" customFormat="false" ht="27.75" hidden="false" customHeight="true" outlineLevel="0" collapsed="false">
      <c r="A18" s="2" t="s">
        <v>145</v>
      </c>
      <c r="B18" s="15" t="s">
        <v>146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2026-04-23T10:49:06Z</dcterms:created>
  <dc:creator>openpyxl</dc:creator>
  <dc:description/>
  <dc:language>en-US</dc:language>
  <cp:lastModifiedBy/>
  <dcterms:modified xsi:type="dcterms:W3CDTF">2026-04-23T10:49:06Z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